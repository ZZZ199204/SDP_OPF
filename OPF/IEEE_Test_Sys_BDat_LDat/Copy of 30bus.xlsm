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5" windowWidth="14355" windowHeight="7230"/>
  </bookViews>
  <sheets>
    <sheet name="Y" sheetId="1" r:id="rId1"/>
    <sheet name="line" sheetId="2" r:id="rId2"/>
    <sheet name="Sheet3" sheetId="3" r:id="rId3"/>
    <sheet name="Sheet1" sheetId="4" r:id="rId4"/>
    <sheet name="Sheet2" sheetId="5" r:id="rId5"/>
    <sheet name="Sheet4" sheetId="6" r:id="rId6"/>
  </sheets>
  <calcPr calcId="145621"/>
</workbook>
</file>

<file path=xl/calcChain.xml><?xml version="1.0" encoding="utf-8"?>
<calcChain xmlns="http://schemas.openxmlformats.org/spreadsheetml/2006/main">
  <c r="AC30" i="1" l="1"/>
  <c r="AD29" i="1"/>
  <c r="O14" i="1"/>
  <c r="N15" i="1"/>
  <c r="N6" i="1"/>
  <c r="M11" i="1"/>
  <c r="L11" i="1"/>
  <c r="L8" i="1"/>
  <c r="K13" i="1"/>
  <c r="K12" i="1"/>
  <c r="K8" i="1"/>
  <c r="H12" i="1"/>
  <c r="H11" i="1"/>
  <c r="F14" i="1"/>
  <c r="AE32" i="1"/>
  <c r="AC32" i="1"/>
  <c r="AF31" i="1"/>
  <c r="AC31" i="1"/>
  <c r="J30" i="1"/>
  <c r="H30" i="1"/>
  <c r="AF29" i="1"/>
  <c r="AE29" i="1"/>
  <c r="AA29" i="1"/>
  <c r="AA28" i="1"/>
  <c r="AC27" i="1"/>
  <c r="AB27" i="1"/>
  <c r="Z27" i="1"/>
  <c r="AA26" i="1"/>
  <c r="Y26" i="1"/>
  <c r="X26" i="1"/>
  <c r="Z25" i="1"/>
  <c r="Q25" i="1"/>
  <c r="Z24" i="1"/>
  <c r="W24" i="1"/>
  <c r="L24" i="1"/>
  <c r="X23" i="1"/>
  <c r="L23" i="1"/>
  <c r="U22" i="1"/>
  <c r="L22" i="1"/>
  <c r="V21" i="1"/>
  <c r="T21" i="1"/>
  <c r="U20" i="1"/>
  <c r="Q20" i="1"/>
  <c r="R19" i="1"/>
  <c r="L19" i="1"/>
  <c r="S18" i="1"/>
  <c r="N18" i="1"/>
  <c r="Y17" i="1"/>
  <c r="T17" i="1"/>
  <c r="P17" i="1"/>
  <c r="N17" i="1"/>
  <c r="Q16" i="1"/>
  <c r="N16" i="1"/>
  <c r="R14" i="1"/>
  <c r="Q14" i="1"/>
  <c r="P14" i="1"/>
  <c r="X12" i="1"/>
  <c r="W12" i="1"/>
  <c r="V12" i="1"/>
  <c r="S12" i="1"/>
  <c r="AD10" i="1"/>
  <c r="H10" i="1"/>
  <c r="H9" i="1"/>
  <c r="G9" i="1"/>
  <c r="AD8" i="1"/>
  <c r="J8" i="1"/>
  <c r="I8" i="1"/>
  <c r="F8" i="1"/>
  <c r="D8" i="1"/>
  <c r="I7" i="1"/>
  <c r="D7" i="1"/>
  <c r="H6" i="1"/>
  <c r="E6" i="1"/>
  <c r="D6" i="1"/>
  <c r="F5" i="1"/>
  <c r="C5" i="1"/>
  <c r="H4" i="1"/>
  <c r="G4" i="1"/>
  <c r="F4" i="1"/>
  <c r="C4" i="1"/>
  <c r="E3" i="1"/>
  <c r="D3" i="1"/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C1" i="6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C1" i="5"/>
  <c r="AD1" i="5"/>
  <c r="AE1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3" i="5"/>
  <c r="C1" i="5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3" i="2"/>
  <c r="A4" i="4" l="1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Y1" i="4"/>
  <c r="Z1" i="4"/>
  <c r="AA1" i="4"/>
  <c r="AB1" i="4"/>
  <c r="AC1" i="4"/>
  <c r="AD1" i="4"/>
  <c r="AE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A3" i="4"/>
  <c r="C1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3" i="3"/>
  <c r="C1" i="3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G3" i="2"/>
  <c r="F3" i="2"/>
</calcChain>
</file>

<file path=xl/sharedStrings.xml><?xml version="1.0" encoding="utf-8"?>
<sst xmlns="http://schemas.openxmlformats.org/spreadsheetml/2006/main" count="166" uniqueCount="128">
  <si>
    <t>Line Records</t>
  </si>
  <si>
    <t>From Number</t>
  </si>
  <si>
    <t>To Number</t>
  </si>
  <si>
    <t>R</t>
  </si>
  <si>
    <t>X</t>
  </si>
  <si>
    <t>B</t>
  </si>
  <si>
    <t>Gline</t>
  </si>
  <si>
    <t>Bline</t>
  </si>
  <si>
    <t>Bshunt</t>
  </si>
  <si>
    <t>Connectivity</t>
  </si>
  <si>
    <t>YBus Records)</t>
  </si>
  <si>
    <t>)</t>
  </si>
  <si>
    <t>Number)</t>
  </si>
  <si>
    <t>Name)</t>
  </si>
  <si>
    <t>Bus     1)</t>
  </si>
  <si>
    <t>Bus     2)</t>
  </si>
  <si>
    <t>Bus     3)</t>
  </si>
  <si>
    <t>Bus     4)</t>
  </si>
  <si>
    <t>Bus     5)</t>
  </si>
  <si>
    <t>Bus     6)</t>
  </si>
  <si>
    <t>Bus     7)</t>
  </si>
  <si>
    <t>Bus     8)</t>
  </si>
  <si>
    <t>Bus     9)</t>
  </si>
  <si>
    <t>Bus    10)</t>
  </si>
  <si>
    <t>Bus    11)</t>
  </si>
  <si>
    <t>Bus    12)</t>
  </si>
  <si>
    <t>Bus    13)</t>
  </si>
  <si>
    <t>Bus    14)</t>
  </si>
  <si>
    <t>Bus    15)</t>
  </si>
  <si>
    <t>Bus    16)</t>
  </si>
  <si>
    <t>Bus    17)</t>
  </si>
  <si>
    <t>Bus    18)</t>
  </si>
  <si>
    <t>Bus    19)</t>
  </si>
  <si>
    <t>Bus    20)</t>
  </si>
  <si>
    <t>Bus    21)</t>
  </si>
  <si>
    <t>Bus    22)</t>
  </si>
  <si>
    <t>Bus    23)</t>
  </si>
  <si>
    <t>Bus    24)</t>
  </si>
  <si>
    <t>Bus    25)</t>
  </si>
  <si>
    <t>Bus    26)</t>
  </si>
  <si>
    <t>Bus    27)</t>
  </si>
  <si>
    <t>Bus    28)</t>
  </si>
  <si>
    <t>Bus    29)</t>
  </si>
  <si>
    <t>Bus    30)</t>
  </si>
  <si>
    <t>1)</t>
  </si>
  <si>
    <t>Glen Lyn)</t>
  </si>
  <si>
    <t>6.77 - j21.23)</t>
  </si>
  <si>
    <t>2)</t>
  </si>
  <si>
    <t>Claytor)</t>
  </si>
  <si>
    <t>9.75 - j30.65)</t>
  </si>
  <si>
    <t>3)</t>
  </si>
  <si>
    <t>Kumis)</t>
  </si>
  <si>
    <t>9.74 - j29.14)</t>
  </si>
  <si>
    <t>4)</t>
  </si>
  <si>
    <t>Hancock)</t>
  </si>
  <si>
    <t>16.31 - j55.51)</t>
  </si>
  <si>
    <t>5)</t>
  </si>
  <si>
    <t>Fieldale)</t>
  </si>
  <si>
    <t>4.09 - j12.19)</t>
  </si>
  <si>
    <t>6)</t>
  </si>
  <si>
    <t>Roanoke)</t>
  </si>
  <si>
    <t>22.34 - j82.83)</t>
  </si>
  <si>
    <t>7)</t>
  </si>
  <si>
    <t>Blaine)</t>
  </si>
  <si>
    <t>6.54 - j18.46)</t>
  </si>
  <si>
    <t>8)</t>
  </si>
  <si>
    <t>Reusens)</t>
  </si>
  <si>
    <t>7.73 - j26.53)</t>
  </si>
  <si>
    <t>9)</t>
  </si>
  <si>
    <t>0.00 - j18.71)</t>
  </si>
  <si>
    <t>10)</t>
  </si>
  <si>
    <t>13.46 - j41.38)</t>
  </si>
  <si>
    <t>11)</t>
  </si>
  <si>
    <t>0.00 - j4.81)</t>
  </si>
  <si>
    <t>12)</t>
  </si>
  <si>
    <t>6.57 - j24.42)</t>
  </si>
  <si>
    <t>13)</t>
  </si>
  <si>
    <t>0.00 - j7.14)</t>
  </si>
  <si>
    <t>14)</t>
  </si>
  <si>
    <t>Bus 14)</t>
  </si>
  <si>
    <t>4.02 - j5.42)</t>
  </si>
  <si>
    <t>15)</t>
  </si>
  <si>
    <t>Bus 15)</t>
  </si>
  <si>
    <t>9.37 - j16.01)</t>
  </si>
  <si>
    <t>16)</t>
  </si>
  <si>
    <t>Bus 16)</t>
  </si>
  <si>
    <t>3.27 - j8.95)</t>
  </si>
  <si>
    <t>17)</t>
  </si>
  <si>
    <t>Bus 17)</t>
  </si>
  <si>
    <t>5.28 - j15.16)</t>
  </si>
  <si>
    <t>18)</t>
  </si>
  <si>
    <t>Bus 18)</t>
  </si>
  <si>
    <t>4.89 - j9.91)</t>
  </si>
  <si>
    <t>19)</t>
  </si>
  <si>
    <t>Bus 19)</t>
  </si>
  <si>
    <t>8.96 - j17.98)</t>
  </si>
  <si>
    <t>20)</t>
  </si>
  <si>
    <t>Bus 20)</t>
  </si>
  <si>
    <t>7.67 - j15.75)</t>
  </si>
  <si>
    <t>21)</t>
  </si>
  <si>
    <t>Bus 21)</t>
  </si>
  <si>
    <t>21.88 - j45.11)</t>
  </si>
  <si>
    <t>22)</t>
  </si>
  <si>
    <t>Bus 22)</t>
  </si>
  <si>
    <t>21.93 - j43.48)</t>
  </si>
  <si>
    <t>23)</t>
  </si>
  <si>
    <t>Bus 23)</t>
  </si>
  <si>
    <t>3.43 - j6.97)</t>
  </si>
  <si>
    <t>24)</t>
  </si>
  <si>
    <t>Bus 24)</t>
  </si>
  <si>
    <t>5.31 - j9.19)</t>
  </si>
  <si>
    <t>25)</t>
  </si>
  <si>
    <t>Bus 25)</t>
  </si>
  <si>
    <t>4.50 - j7.86)</t>
  </si>
  <si>
    <t>26)</t>
  </si>
  <si>
    <t>Bus 26)</t>
  </si>
  <si>
    <t>1.22 - j1.82)</t>
  </si>
  <si>
    <t>27)</t>
  </si>
  <si>
    <t>Cloverdl)</t>
  </si>
  <si>
    <t>3.65 - j9.46)</t>
  </si>
  <si>
    <t>28)</t>
  </si>
  <si>
    <t>5.81 - j22.67)</t>
  </si>
  <si>
    <t>29)</t>
  </si>
  <si>
    <t>Bus 29)</t>
  </si>
  <si>
    <t>1.91 - j3.60)</t>
  </si>
  <si>
    <t>30)</t>
  </si>
  <si>
    <t>Bus 30)</t>
  </si>
  <si>
    <t>1.60 - j3.02)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</si>
</sst>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32"/>
  <sheetViews>
    <sheetView tabSelected="1" workbookViewId="0">
      <selection activeCell="M19" sqref="M19:N32"/>
    </sheetView>
  </sheetViews>
  <sheetFormatPr defaultRowHeight="15" x14ac:dyDescent="0.25"/>
  <sheetData>
    <row r="1" spans="1:32" x14ac:dyDescent="0.25">
      <c r="A1" t="s">
        <v>10</v>
      </c>
      <c r="B1" t="s">
        <v>11</v>
      </c>
      <c r="C1" t="s">
        <v>11</v>
      </c>
      <c r="D1" t="s">
        <v>11</v>
      </c>
      <c r="E1" t="s">
        <v>11</v>
      </c>
      <c r="F1" t="s">
        <v>11</v>
      </c>
      <c r="G1" t="s">
        <v>11</v>
      </c>
      <c r="H1" t="s">
        <v>11</v>
      </c>
      <c r="I1" t="s">
        <v>11</v>
      </c>
      <c r="J1" t="s">
        <v>11</v>
      </c>
      <c r="K1" t="s">
        <v>11</v>
      </c>
      <c r="L1" t="s">
        <v>11</v>
      </c>
      <c r="M1" t="s">
        <v>11</v>
      </c>
      <c r="N1" t="s">
        <v>11</v>
      </c>
      <c r="O1" t="s">
        <v>11</v>
      </c>
      <c r="P1" t="s">
        <v>11</v>
      </c>
      <c r="Q1" t="s">
        <v>11</v>
      </c>
      <c r="R1" t="s">
        <v>11</v>
      </c>
      <c r="S1" t="s">
        <v>11</v>
      </c>
      <c r="T1" t="s">
        <v>11</v>
      </c>
      <c r="U1" t="s">
        <v>11</v>
      </c>
      <c r="V1" t="s">
        <v>11</v>
      </c>
      <c r="W1" t="s">
        <v>11</v>
      </c>
      <c r="X1" t="s">
        <v>11</v>
      </c>
      <c r="Y1" t="s">
        <v>11</v>
      </c>
      <c r="Z1" t="s">
        <v>11</v>
      </c>
      <c r="AA1" t="s">
        <v>11</v>
      </c>
      <c r="AB1" t="s">
        <v>11</v>
      </c>
      <c r="AC1" t="s">
        <v>11</v>
      </c>
      <c r="AD1" t="s">
        <v>11</v>
      </c>
      <c r="AE1" t="s">
        <v>11</v>
      </c>
      <c r="AF1" t="s">
        <v>11</v>
      </c>
    </row>
    <row r="2" spans="1:32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 t="s">
        <v>29</v>
      </c>
      <c r="S2" t="s">
        <v>30</v>
      </c>
      <c r="T2" t="s">
        <v>31</v>
      </c>
      <c r="U2" t="s">
        <v>32</v>
      </c>
      <c r="V2" t="s">
        <v>33</v>
      </c>
      <c r="W2" t="s">
        <v>34</v>
      </c>
      <c r="X2" t="s">
        <v>35</v>
      </c>
      <c r="Y2" t="s">
        <v>36</v>
      </c>
      <c r="Z2" t="s">
        <v>37</v>
      </c>
      <c r="AA2" t="s">
        <v>38</v>
      </c>
      <c r="AB2" t="s">
        <v>39</v>
      </c>
      <c r="AC2" t="s">
        <v>40</v>
      </c>
      <c r="AD2" t="s">
        <v>41</v>
      </c>
      <c r="AE2" t="s">
        <v>42</v>
      </c>
      <c r="AF2" t="s">
        <v>43</v>
      </c>
    </row>
    <row r="3" spans="1:32" x14ac:dyDescent="0.25">
      <c r="A3" t="s">
        <v>44</v>
      </c>
      <c r="B3" t="s">
        <v>45</v>
      </c>
      <c r="C3" t="s">
        <v>46</v>
      </c>
      <c r="D3" t="str">
        <f>COMPLEX(-5.22, 15.65)</f>
        <v>-5.22+15.65i</v>
      </c>
      <c r="E3" t="str">
        <f>COMPLEX(-1.54, 5.63)</f>
        <v>-1.54+5.63i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1:32" x14ac:dyDescent="0.25">
      <c r="A4" t="s">
        <v>47</v>
      </c>
      <c r="B4" t="s">
        <v>48</v>
      </c>
      <c r="C4" t="str">
        <f>COMPLEX(-5.22, 15.65)</f>
        <v>-5.22+15.65i</v>
      </c>
      <c r="D4" t="s">
        <v>49</v>
      </c>
      <c r="E4">
        <v>0</v>
      </c>
      <c r="F4" t="str">
        <f>COMPLEX(-1.71, 5.2)</f>
        <v>-1.71+5.2i</v>
      </c>
      <c r="G4" t="str">
        <f>COMPLEX(-1.14, 4.77)</f>
        <v>-1.14+4.77i</v>
      </c>
      <c r="H4" t="str">
        <f>COMPLEX(-1.69, 5.12)</f>
        <v>-1.69+5.12i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</row>
    <row r="5" spans="1:32" x14ac:dyDescent="0.25">
      <c r="A5" t="s">
        <v>50</v>
      </c>
      <c r="B5" t="s">
        <v>51</v>
      </c>
      <c r="C5" t="str">
        <f>COMPLEX(-1.54, 5.63)</f>
        <v>-1.54+5.63i</v>
      </c>
      <c r="D5">
        <v>0</v>
      </c>
      <c r="E5" t="s">
        <v>52</v>
      </c>
      <c r="F5" t="str">
        <f>COMPLEX(-8.2, 23.53)</f>
        <v>-8.2+23.53i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1:32" x14ac:dyDescent="0.25">
      <c r="A6" t="s">
        <v>53</v>
      </c>
      <c r="B6" t="s">
        <v>54</v>
      </c>
      <c r="C6">
        <v>0</v>
      </c>
      <c r="D6" t="str">
        <f>COMPLEX(-1.71, 5.2)</f>
        <v>-1.71+5.2i</v>
      </c>
      <c r="E6" t="str">
        <f>COMPLEX(-8.2, 23.53)</f>
        <v>-8.2+23.53i</v>
      </c>
      <c r="F6" t="s">
        <v>55</v>
      </c>
      <c r="G6">
        <v>0</v>
      </c>
      <c r="H6" t="str">
        <f>COMPLEX(-6.41, 22.31)</f>
        <v>-6.41+22.31i</v>
      </c>
      <c r="I6">
        <v>0</v>
      </c>
      <c r="J6">
        <v>0</v>
      </c>
      <c r="K6">
        <v>0</v>
      </c>
      <c r="L6">
        <v>0</v>
      </c>
      <c r="M6">
        <v>0</v>
      </c>
      <c r="N6" t="str">
        <f>COMPLEX(0,4.19)</f>
        <v>4.19i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1:32" x14ac:dyDescent="0.25">
      <c r="A7" t="s">
        <v>56</v>
      </c>
      <c r="B7" t="s">
        <v>57</v>
      </c>
      <c r="C7">
        <v>0</v>
      </c>
      <c r="D7" t="str">
        <f>COMPLEX(-1.14, 4.77)</f>
        <v>-1.14+4.77i</v>
      </c>
      <c r="E7">
        <v>0</v>
      </c>
      <c r="F7">
        <v>0</v>
      </c>
      <c r="G7" t="s">
        <v>58</v>
      </c>
      <c r="H7">
        <v>0</v>
      </c>
      <c r="I7" t="str">
        <f>COMPLEX(-2.95, 7.45)</f>
        <v>-2.95+7.45i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1:32" x14ac:dyDescent="0.25">
      <c r="A8" t="s">
        <v>59</v>
      </c>
      <c r="B8" t="s">
        <v>60</v>
      </c>
      <c r="C8">
        <v>0</v>
      </c>
      <c r="D8" t="str">
        <f>COMPLEX(-1.69, 5.12)</f>
        <v>-1.69+5.12i</v>
      </c>
      <c r="E8">
        <v>0</v>
      </c>
      <c r="F8" t="str">
        <f>COMPLEX(-6.41, 22.31)</f>
        <v>-6.41+22.31i</v>
      </c>
      <c r="G8">
        <v>0</v>
      </c>
      <c r="H8" t="s">
        <v>61</v>
      </c>
      <c r="I8" t="str">
        <f>COMPLEX(-3.59, 11.03)</f>
        <v>-3.59+11.03i</v>
      </c>
      <c r="J8" t="str">
        <f>COMPLEX(-6.29, 22.01)</f>
        <v>-6.29+22.01i</v>
      </c>
      <c r="K8" t="str">
        <f>COMPLEX(0,4.92)</f>
        <v>4.92i</v>
      </c>
      <c r="L8" t="str">
        <f>COMPLEX(0,1.86)</f>
        <v>1.86i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 t="str">
        <f>COMPLEX(-4.36, 15.46)</f>
        <v>-4.36+15.46i</v>
      </c>
      <c r="AE8">
        <v>0</v>
      </c>
      <c r="AF8">
        <v>0</v>
      </c>
    </row>
    <row r="9" spans="1:32" x14ac:dyDescent="0.25">
      <c r="A9" t="s">
        <v>62</v>
      </c>
      <c r="B9" t="s">
        <v>63</v>
      </c>
      <c r="C9">
        <v>0</v>
      </c>
      <c r="D9">
        <v>0</v>
      </c>
      <c r="E9">
        <v>0</v>
      </c>
      <c r="F9">
        <v>0</v>
      </c>
      <c r="G9" t="str">
        <f>COMPLEX(-2.95, 7.45)</f>
        <v>-2.95+7.45i</v>
      </c>
      <c r="H9" t="str">
        <f>COMPLEX(-3.59, 11.03)</f>
        <v>-3.59+11.03i</v>
      </c>
      <c r="I9" t="s">
        <v>64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2" x14ac:dyDescent="0.25">
      <c r="A10" t="s">
        <v>65</v>
      </c>
      <c r="B10" t="s">
        <v>66</v>
      </c>
      <c r="C10">
        <v>0</v>
      </c>
      <c r="D10">
        <v>0</v>
      </c>
      <c r="E10">
        <v>0</v>
      </c>
      <c r="F10">
        <v>0</v>
      </c>
      <c r="G10">
        <v>0</v>
      </c>
      <c r="H10" t="str">
        <f>COMPLEX(-6.29, 22.01)</f>
        <v>-6.29+22.01i</v>
      </c>
      <c r="I10">
        <v>0</v>
      </c>
      <c r="J10" t="s">
        <v>67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 t="str">
        <f>COMPLEX(-1.44, 4.54)</f>
        <v>-1.44+4.54i</v>
      </c>
      <c r="AE10">
        <v>0</v>
      </c>
      <c r="AF10">
        <v>0</v>
      </c>
    </row>
    <row r="11" spans="1:32" x14ac:dyDescent="0.25">
      <c r="A11" t="s">
        <v>68</v>
      </c>
      <c r="B11" t="s">
        <v>60</v>
      </c>
      <c r="C11">
        <v>0</v>
      </c>
      <c r="D11">
        <v>0</v>
      </c>
      <c r="E11">
        <v>0</v>
      </c>
      <c r="F11">
        <v>0</v>
      </c>
      <c r="G11">
        <v>0</v>
      </c>
      <c r="H11" t="str">
        <f>COMPLEX(0,4.92)</f>
        <v>4.92i</v>
      </c>
      <c r="I11">
        <v>0</v>
      </c>
      <c r="J11">
        <v>0</v>
      </c>
      <c r="K11" t="s">
        <v>69</v>
      </c>
      <c r="L11" t="str">
        <f>COMPLEX(0,9.09)</f>
        <v>9.09i</v>
      </c>
      <c r="M11" t="str">
        <f>COMPLEX(0,4.81)</f>
        <v>4.81i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2" x14ac:dyDescent="0.25">
      <c r="A12" t="s">
        <v>70</v>
      </c>
      <c r="B12" t="s">
        <v>60</v>
      </c>
      <c r="C12">
        <v>0</v>
      </c>
      <c r="D12">
        <v>0</v>
      </c>
      <c r="E12">
        <v>0</v>
      </c>
      <c r="F12">
        <v>0</v>
      </c>
      <c r="G12">
        <v>0</v>
      </c>
      <c r="H12" t="str">
        <f>COMPLEX(0,1.86)</f>
        <v>1.86i</v>
      </c>
      <c r="I12">
        <v>0</v>
      </c>
      <c r="J12">
        <v>0</v>
      </c>
      <c r="K12" t="str">
        <f>COMPLEX(0,9.09)</f>
        <v>9.09i</v>
      </c>
      <c r="L12" t="s">
        <v>71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tr">
        <f>COMPLEX(-3.96, 10.32)</f>
        <v>-3.96+10.32i</v>
      </c>
      <c r="T12">
        <v>0</v>
      </c>
      <c r="U12">
        <v>0</v>
      </c>
      <c r="V12" t="str">
        <f>COMPLEX(-1.78, 3.99)</f>
        <v>-1.78+3.99i</v>
      </c>
      <c r="W12" t="str">
        <f>COMPLEX(-5.1, 10.98)</f>
        <v>-5.1+10.98i</v>
      </c>
      <c r="X12" t="str">
        <f>COMPLEX(-2.62, 5.4)</f>
        <v>-2.62+5.4i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 x14ac:dyDescent="0.25">
      <c r="A13" t="s">
        <v>72</v>
      </c>
      <c r="B13" t="s">
        <v>60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tr">
        <f>COMPLEX(0,4.81)</f>
        <v>4.81i</v>
      </c>
      <c r="L13">
        <v>0</v>
      </c>
      <c r="M13" t="s">
        <v>73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 x14ac:dyDescent="0.25">
      <c r="A14" t="s">
        <v>74</v>
      </c>
      <c r="B14" t="s">
        <v>54</v>
      </c>
      <c r="C14">
        <v>0</v>
      </c>
      <c r="D14">
        <v>0</v>
      </c>
      <c r="E14">
        <v>0</v>
      </c>
      <c r="F14" t="str">
        <f>COMPLEX(0,4.19)</f>
        <v>4.19i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 t="s">
        <v>75</v>
      </c>
      <c r="O14" t="str">
        <f>COMPLEX(0,7.14)</f>
        <v>7.14i</v>
      </c>
      <c r="P14" t="str">
        <f>COMPLEX(-1.53, 3.17)</f>
        <v>-1.53+3.17i</v>
      </c>
      <c r="Q14" t="str">
        <f>COMPLEX(-3.1, 6.1)</f>
        <v>-3.1+6.1i</v>
      </c>
      <c r="R14" t="str">
        <f>COMPLEX(-1.95, 4.1)</f>
        <v>-1.95+4.1i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 x14ac:dyDescent="0.25">
      <c r="A15" t="s">
        <v>76</v>
      </c>
      <c r="B15" t="s">
        <v>54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 t="str">
        <f>COMPLEX(0,7.14)</f>
        <v>7.14i</v>
      </c>
      <c r="O15" t="s">
        <v>77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1:32" x14ac:dyDescent="0.25">
      <c r="A16" t="s">
        <v>78</v>
      </c>
      <c r="B16" t="s">
        <v>79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 t="str">
        <f>COMPLEX(-1.53, 3.17)</f>
        <v>-1.53+3.17i</v>
      </c>
      <c r="O16">
        <v>0</v>
      </c>
      <c r="P16" t="s">
        <v>80</v>
      </c>
      <c r="Q16" t="str">
        <f>COMPLEX(-2.49, 2.25)</f>
        <v>-2.49+2.25i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</row>
    <row r="17" spans="1:32" x14ac:dyDescent="0.25">
      <c r="A17" t="s">
        <v>81</v>
      </c>
      <c r="B17" t="s">
        <v>82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 t="str">
        <f>COMPLEX(-3.1, 6.1)</f>
        <v>-3.1+6.1i</v>
      </c>
      <c r="O17">
        <v>0</v>
      </c>
      <c r="P17" t="str">
        <f>COMPLEX(-2.49, 2.25)</f>
        <v>-2.49+2.25i</v>
      </c>
      <c r="Q17" t="s">
        <v>83</v>
      </c>
      <c r="R17">
        <v>0</v>
      </c>
      <c r="S17">
        <v>0</v>
      </c>
      <c r="T17" t="str">
        <f>COMPLEX(-1.81, 3.69)</f>
        <v>-1.81+3.69i</v>
      </c>
      <c r="U17">
        <v>0</v>
      </c>
      <c r="V17">
        <v>0</v>
      </c>
      <c r="W17">
        <v>0</v>
      </c>
      <c r="X17">
        <v>0</v>
      </c>
      <c r="Y17" t="str">
        <f>COMPLEX(-1.97, 3.98)</f>
        <v>-1.97+3.98i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1:32" x14ac:dyDescent="0.25">
      <c r="A18" t="s">
        <v>84</v>
      </c>
      <c r="B18" t="s">
        <v>85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 t="str">
        <f>COMPLEX(-1.95, 4.1)</f>
        <v>-1.95+4.1i</v>
      </c>
      <c r="O18">
        <v>0</v>
      </c>
      <c r="P18">
        <v>0</v>
      </c>
      <c r="Q18">
        <v>0</v>
      </c>
      <c r="R18" t="s">
        <v>86</v>
      </c>
      <c r="S18" t="str">
        <f>COMPLEX(-1.32, 4.84)</f>
        <v>-1.32+4.84i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 x14ac:dyDescent="0.25">
      <c r="A19" t="s">
        <v>87</v>
      </c>
      <c r="B19" t="s">
        <v>88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 t="str">
        <f>COMPLEX(-3.96, 10.32)</f>
        <v>-3.96+10.32i</v>
      </c>
      <c r="M19">
        <v>0</v>
      </c>
      <c r="N19">
        <v>0</v>
      </c>
      <c r="O19">
        <v>0</v>
      </c>
      <c r="P19">
        <v>0</v>
      </c>
      <c r="Q19">
        <v>0</v>
      </c>
      <c r="R19" t="str">
        <f>COMPLEX(-1.32, 4.84)</f>
        <v>-1.32+4.84i</v>
      </c>
      <c r="S19" t="s">
        <v>89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 x14ac:dyDescent="0.25">
      <c r="A20" t="s">
        <v>90</v>
      </c>
      <c r="B20" t="s">
        <v>91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 t="str">
        <f>COMPLEX(-1.81, 3.69)</f>
        <v>-1.81+3.69i</v>
      </c>
      <c r="R20">
        <v>0</v>
      </c>
      <c r="S20">
        <v>0</v>
      </c>
      <c r="T20" t="s">
        <v>92</v>
      </c>
      <c r="U20" t="str">
        <f>COMPLEX(-3.08, 6.22)</f>
        <v>-3.08+6.22i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 x14ac:dyDescent="0.25">
      <c r="A21" t="s">
        <v>93</v>
      </c>
      <c r="B21" t="s">
        <v>94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 t="str">
        <f>COMPLEX(-3.08, 6.22)</f>
        <v>-3.08+6.22i</v>
      </c>
      <c r="U21" t="s">
        <v>95</v>
      </c>
      <c r="V21" t="str">
        <f>COMPLEX(-5.88, 11.76)</f>
        <v>-5.88+11.76i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</row>
    <row r="22" spans="1:32" x14ac:dyDescent="0.25">
      <c r="A22" t="s">
        <v>96</v>
      </c>
      <c r="B22" t="s">
        <v>97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 t="str">
        <f>COMPLEX(-1.78, 3.99)</f>
        <v>-1.78+3.99i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 t="str">
        <f>COMPLEX(-5.88, 11.76)</f>
        <v>-5.88+11.76i</v>
      </c>
      <c r="V22" t="s">
        <v>98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 x14ac:dyDescent="0.25">
      <c r="A23" t="s">
        <v>99</v>
      </c>
      <c r="B23" t="s">
        <v>100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 t="str">
        <f>COMPLEX(-5.1, 10.98)</f>
        <v>-5.1+10.98i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t="s">
        <v>101</v>
      </c>
      <c r="X23" t="str">
        <f>COMPLEX(-16.77, 34.13)</f>
        <v>-16.77+34.13i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</row>
    <row r="24" spans="1:32" x14ac:dyDescent="0.25">
      <c r="A24" t="s">
        <v>102</v>
      </c>
      <c r="B24" t="s">
        <v>103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 t="str">
        <f>COMPLEX(-2.62, 5.4)</f>
        <v>-2.62+5.4i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 t="str">
        <f>COMPLEX(-16.77, 34.13)</f>
        <v>-16.77+34.13i</v>
      </c>
      <c r="X24" t="s">
        <v>104</v>
      </c>
      <c r="Y24">
        <v>0</v>
      </c>
      <c r="Z24" t="str">
        <f>COMPLEX(-2.54, 3.95)</f>
        <v>-2.54+3.95i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</row>
    <row r="25" spans="1:32" x14ac:dyDescent="0.25">
      <c r="A25" t="s">
        <v>105</v>
      </c>
      <c r="B25" t="s">
        <v>106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 t="str">
        <f>COMPLEX(-1.97, 3.98)</f>
        <v>-1.97+3.98i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t="s">
        <v>107</v>
      </c>
      <c r="Z25" t="str">
        <f>COMPLEX(-1.46, 2.99)</f>
        <v>-1.46+2.99i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 x14ac:dyDescent="0.25">
      <c r="A26" t="s">
        <v>108</v>
      </c>
      <c r="B26" t="s">
        <v>109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t="str">
        <f>COMPLEX(-2.54, 3.95)</f>
        <v>-2.54+3.95i</v>
      </c>
      <c r="Y26" t="str">
        <f>COMPLEX(-1.46, 2.99)</f>
        <v>-1.46+2.99i</v>
      </c>
      <c r="Z26" t="s">
        <v>110</v>
      </c>
      <c r="AA26" t="str">
        <f>COMPLEX(-1.31, 2.29)</f>
        <v>-1.31+2.29i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 x14ac:dyDescent="0.25">
      <c r="A27" t="s">
        <v>111</v>
      </c>
      <c r="B27" t="s">
        <v>112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 t="str">
        <f>COMPLEX(-1.31, 2.29)</f>
        <v>-1.31+2.29i</v>
      </c>
      <c r="AA27" t="s">
        <v>113</v>
      </c>
      <c r="AB27" t="str">
        <f>COMPLEX(-1.22, 1.82)</f>
        <v>-1.22+1.82i</v>
      </c>
      <c r="AC27" t="str">
        <f>COMPLEX(-1.97, 3.76)</f>
        <v>-1.97+3.76i</v>
      </c>
      <c r="AD27">
        <v>0</v>
      </c>
      <c r="AE27">
        <v>0</v>
      </c>
      <c r="AF27">
        <v>0</v>
      </c>
    </row>
    <row r="28" spans="1:32" x14ac:dyDescent="0.25">
      <c r="A28" t="s">
        <v>114</v>
      </c>
      <c r="B28" t="s">
        <v>115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 t="str">
        <f>COMPLEX(-1.22, 1.82)</f>
        <v>-1.22+1.82i</v>
      </c>
      <c r="AB28" t="s">
        <v>116</v>
      </c>
      <c r="AC28">
        <v>0</v>
      </c>
      <c r="AD28">
        <v>0</v>
      </c>
      <c r="AE28">
        <v>0</v>
      </c>
      <c r="AF28">
        <v>0</v>
      </c>
    </row>
    <row r="29" spans="1:32" x14ac:dyDescent="0.25">
      <c r="A29" t="s">
        <v>117</v>
      </c>
      <c r="B29" t="s">
        <v>118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 t="str">
        <f>COMPLEX(-1.97, 3.76)</f>
        <v>-1.97+3.76i</v>
      </c>
      <c r="AB29">
        <v>0</v>
      </c>
      <c r="AC29" t="s">
        <v>119</v>
      </c>
      <c r="AD29" t="str">
        <f>COMPLEX(0,2.61)</f>
        <v>2.61i</v>
      </c>
      <c r="AE29" t="str">
        <f>COMPLEX(-1, 1.88)</f>
        <v>-1+1.88i</v>
      </c>
      <c r="AF29" t="str">
        <f>COMPLEX(-0.69, 1.29)</f>
        <v>-0.69+1.29i</v>
      </c>
    </row>
    <row r="30" spans="1:32" x14ac:dyDescent="0.25">
      <c r="A30" t="s">
        <v>120</v>
      </c>
      <c r="B30" t="s">
        <v>118</v>
      </c>
      <c r="C30">
        <v>0</v>
      </c>
      <c r="D30">
        <v>0</v>
      </c>
      <c r="E30">
        <v>0</v>
      </c>
      <c r="F30">
        <v>0</v>
      </c>
      <c r="G30">
        <v>0</v>
      </c>
      <c r="H30" t="str">
        <f>COMPLEX(-4.36, 15.46)</f>
        <v>-4.36+15.46i</v>
      </c>
      <c r="I30">
        <v>0</v>
      </c>
      <c r="J30" t="str">
        <f>COMPLEX(-1.44, 4.54)</f>
        <v>-1.44+4.54i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>COMPLEX(0,2.61)</f>
        <v>2.61i</v>
      </c>
      <c r="AD30" t="s">
        <v>121</v>
      </c>
      <c r="AE30">
        <v>0</v>
      </c>
      <c r="AF30">
        <v>0</v>
      </c>
    </row>
    <row r="31" spans="1:32" x14ac:dyDescent="0.25">
      <c r="A31" t="s">
        <v>122</v>
      </c>
      <c r="B31" t="s">
        <v>123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>COMPLEX(-1, 1.88)</f>
        <v>-1+1.88i</v>
      </c>
      <c r="AD31">
        <v>0</v>
      </c>
      <c r="AE31" t="s">
        <v>124</v>
      </c>
      <c r="AF31" t="str">
        <f>COMPLEX(-0.91, 1.72)</f>
        <v>-0.91+1.72i</v>
      </c>
    </row>
    <row r="32" spans="1:32" x14ac:dyDescent="0.25">
      <c r="A32" t="s">
        <v>125</v>
      </c>
      <c r="B32" t="s">
        <v>126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>COMPLEX(-0.69, 1.29)</f>
        <v>-0.69+1.29i</v>
      </c>
      <c r="AD32">
        <v>0</v>
      </c>
      <c r="AE32" t="str">
        <f>COMPLEX(-0.91, 1.72)</f>
        <v>-0.91+1.72i</v>
      </c>
      <c r="AF32" t="s">
        <v>127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3"/>
  <sheetViews>
    <sheetView topLeftCell="A15" workbookViewId="0">
      <selection activeCell="M35" sqref="M35"/>
    </sheetView>
  </sheetViews>
  <sheetFormatPr defaultRowHeight="15" x14ac:dyDescent="0.25"/>
  <cols>
    <col min="1" max="1" width="13.42578125" customWidth="1"/>
    <col min="2" max="2" width="13" customWidth="1"/>
    <col min="3" max="3" width="10.42578125" customWidth="1"/>
    <col min="4" max="4" width="10.28515625" customWidth="1"/>
    <col min="5" max="5" width="10" customWidth="1"/>
  </cols>
  <sheetData>
    <row r="1" spans="1:9" x14ac:dyDescent="0.25">
      <c r="A1" t="s">
        <v>0</v>
      </c>
      <c r="B1" t="s">
        <v>0</v>
      </c>
      <c r="C1" t="s">
        <v>0</v>
      </c>
    </row>
    <row r="2" spans="1:9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</row>
    <row r="3" spans="1:9" x14ac:dyDescent="0.25">
      <c r="A3">
        <v>1</v>
      </c>
      <c r="B3">
        <v>2</v>
      </c>
      <c r="C3">
        <v>1.9199999999999998E-2</v>
      </c>
      <c r="D3">
        <v>5.7500000000000002E-2</v>
      </c>
      <c r="E3">
        <v>5.28E-2</v>
      </c>
      <c r="F3">
        <f>C3/(C3^2+D3^2)</f>
        <v>5.2246461798856556</v>
      </c>
      <c r="G3">
        <f>-D3/(C3^2+D3^2)</f>
        <v>-15.646726840803398</v>
      </c>
      <c r="H3">
        <f>-E3</f>
        <v>-5.28E-2</v>
      </c>
      <c r="I3">
        <v>1</v>
      </c>
    </row>
    <row r="4" spans="1:9" x14ac:dyDescent="0.25">
      <c r="A4">
        <v>1</v>
      </c>
      <c r="B4">
        <v>3</v>
      </c>
      <c r="C4">
        <v>4.5199999999999997E-2</v>
      </c>
      <c r="D4">
        <v>0.16520000000000001</v>
      </c>
      <c r="E4">
        <v>4.0800000000000003E-2</v>
      </c>
      <c r="F4">
        <f t="shared" ref="F4:F43" si="0">C4/(C4^2+D4^2)</f>
        <v>1.5408698687669764</v>
      </c>
      <c r="G4">
        <f t="shared" ref="G4:G43" si="1">-D4/(C4^2+D4^2)</f>
        <v>-5.6316748300952337</v>
      </c>
      <c r="H4">
        <f t="shared" ref="H4:H43" si="2">-E4</f>
        <v>-4.0800000000000003E-2</v>
      </c>
      <c r="I4">
        <v>1</v>
      </c>
    </row>
    <row r="5" spans="1:9" x14ac:dyDescent="0.25">
      <c r="A5">
        <v>2</v>
      </c>
      <c r="B5">
        <v>4</v>
      </c>
      <c r="C5">
        <v>5.7000000000000002E-2</v>
      </c>
      <c r="D5">
        <v>0.17369999999999999</v>
      </c>
      <c r="E5">
        <v>3.6799999999999999E-2</v>
      </c>
      <c r="F5">
        <f t="shared" si="0"/>
        <v>1.7055303166990272</v>
      </c>
      <c r="G5">
        <f t="shared" si="1"/>
        <v>-5.1973792282565086</v>
      </c>
      <c r="H5">
        <f t="shared" si="2"/>
        <v>-3.6799999999999999E-2</v>
      </c>
      <c r="I5">
        <v>1</v>
      </c>
    </row>
    <row r="6" spans="1:9" x14ac:dyDescent="0.25">
      <c r="A6">
        <v>2</v>
      </c>
      <c r="B6">
        <v>5</v>
      </c>
      <c r="C6">
        <v>4.7199999999999999E-2</v>
      </c>
      <c r="D6">
        <v>0.1983</v>
      </c>
      <c r="E6">
        <v>4.1799999999999997E-2</v>
      </c>
      <c r="F6">
        <f t="shared" si="0"/>
        <v>1.135960788173878</v>
      </c>
      <c r="G6">
        <f t="shared" si="1"/>
        <v>-4.7724793282813565</v>
      </c>
      <c r="H6">
        <f t="shared" si="2"/>
        <v>-4.1799999999999997E-2</v>
      </c>
      <c r="I6">
        <v>1</v>
      </c>
    </row>
    <row r="7" spans="1:9" x14ac:dyDescent="0.25">
      <c r="A7">
        <v>2</v>
      </c>
      <c r="B7">
        <v>6</v>
      </c>
      <c r="C7">
        <v>5.8099999999999999E-2</v>
      </c>
      <c r="D7">
        <v>0.17630000000000001</v>
      </c>
      <c r="E7">
        <v>3.7400000000000003E-2</v>
      </c>
      <c r="F7">
        <f t="shared" si="0"/>
        <v>1.6861448807654689</v>
      </c>
      <c r="G7">
        <f t="shared" si="1"/>
        <v>-5.1164774953348058</v>
      </c>
      <c r="H7">
        <f t="shared" si="2"/>
        <v>-3.7400000000000003E-2</v>
      </c>
      <c r="I7">
        <v>1</v>
      </c>
    </row>
    <row r="8" spans="1:9" x14ac:dyDescent="0.25">
      <c r="A8">
        <v>3</v>
      </c>
      <c r="B8">
        <v>4</v>
      </c>
      <c r="C8">
        <v>1.32E-2</v>
      </c>
      <c r="D8">
        <v>3.7900000000000003E-2</v>
      </c>
      <c r="E8">
        <v>8.3999999999999995E-3</v>
      </c>
      <c r="F8">
        <f t="shared" si="0"/>
        <v>8.1954490423121094</v>
      </c>
      <c r="G8">
        <f t="shared" si="1"/>
        <v>-23.530872629062802</v>
      </c>
      <c r="H8">
        <f t="shared" si="2"/>
        <v>-8.3999999999999995E-3</v>
      </c>
      <c r="I8">
        <v>1</v>
      </c>
    </row>
    <row r="9" spans="1:9" x14ac:dyDescent="0.25">
      <c r="A9">
        <v>4</v>
      </c>
      <c r="B9">
        <v>6</v>
      </c>
      <c r="C9">
        <v>1.1900000000000001E-2</v>
      </c>
      <c r="D9">
        <v>4.1399999999999999E-2</v>
      </c>
      <c r="E9">
        <v>8.9999999999999993E-3</v>
      </c>
      <c r="F9">
        <f t="shared" si="0"/>
        <v>6.4131237301745561</v>
      </c>
      <c r="G9">
        <f t="shared" si="1"/>
        <v>-22.311203565481225</v>
      </c>
      <c r="H9">
        <f t="shared" si="2"/>
        <v>-8.9999999999999993E-3</v>
      </c>
      <c r="I9">
        <v>1</v>
      </c>
    </row>
    <row r="10" spans="1:9" x14ac:dyDescent="0.25">
      <c r="A10">
        <v>4</v>
      </c>
      <c r="B10">
        <v>12</v>
      </c>
      <c r="C10">
        <v>0</v>
      </c>
      <c r="D10">
        <v>0.25600000000000001</v>
      </c>
      <c r="E10">
        <v>0</v>
      </c>
      <c r="F10">
        <f t="shared" si="0"/>
        <v>0</v>
      </c>
      <c r="G10">
        <f t="shared" si="1"/>
        <v>-3.9062500000000004</v>
      </c>
      <c r="H10">
        <f t="shared" si="2"/>
        <v>0</v>
      </c>
      <c r="I10">
        <v>1</v>
      </c>
    </row>
    <row r="11" spans="1:9" x14ac:dyDescent="0.25">
      <c r="A11">
        <v>5</v>
      </c>
      <c r="B11">
        <v>7</v>
      </c>
      <c r="C11">
        <v>4.5999999999999999E-2</v>
      </c>
      <c r="D11">
        <v>0.11600000000000001</v>
      </c>
      <c r="E11">
        <v>2.0400000000000001E-2</v>
      </c>
      <c r="F11">
        <f t="shared" si="0"/>
        <v>2.954020035961983</v>
      </c>
      <c r="G11">
        <f t="shared" si="1"/>
        <v>-7.4492679167736968</v>
      </c>
      <c r="H11">
        <f t="shared" si="2"/>
        <v>-2.0400000000000001E-2</v>
      </c>
      <c r="I11">
        <v>1</v>
      </c>
    </row>
    <row r="12" spans="1:9" x14ac:dyDescent="0.25">
      <c r="A12">
        <v>6</v>
      </c>
      <c r="B12">
        <v>7</v>
      </c>
      <c r="C12">
        <v>2.6700000000000002E-2</v>
      </c>
      <c r="D12">
        <v>8.2000000000000003E-2</v>
      </c>
      <c r="E12">
        <v>1.7000000000000001E-2</v>
      </c>
      <c r="F12">
        <f t="shared" si="0"/>
        <v>3.590210423980992</v>
      </c>
      <c r="G12">
        <f t="shared" si="1"/>
        <v>-11.026114410728139</v>
      </c>
      <c r="H12">
        <f t="shared" si="2"/>
        <v>-1.7000000000000001E-2</v>
      </c>
      <c r="I12">
        <v>1</v>
      </c>
    </row>
    <row r="13" spans="1:9" x14ac:dyDescent="0.25">
      <c r="A13">
        <v>6</v>
      </c>
      <c r="B13">
        <v>8</v>
      </c>
      <c r="C13">
        <v>1.2E-2</v>
      </c>
      <c r="D13">
        <v>4.2000000000000003E-2</v>
      </c>
      <c r="E13">
        <v>8.9999999999999993E-3</v>
      </c>
      <c r="F13">
        <f t="shared" si="0"/>
        <v>6.2893081761006284</v>
      </c>
      <c r="G13">
        <f t="shared" si="1"/>
        <v>-22.012578616352201</v>
      </c>
      <c r="H13">
        <f t="shared" si="2"/>
        <v>-8.9999999999999993E-3</v>
      </c>
      <c r="I13">
        <v>1</v>
      </c>
    </row>
    <row r="14" spans="1:9" x14ac:dyDescent="0.25">
      <c r="A14">
        <v>6</v>
      </c>
      <c r="B14">
        <v>9</v>
      </c>
      <c r="C14">
        <v>0</v>
      </c>
      <c r="D14">
        <v>0.20799999999999999</v>
      </c>
      <c r="E14">
        <v>0</v>
      </c>
      <c r="F14">
        <f t="shared" si="0"/>
        <v>0</v>
      </c>
      <c r="G14">
        <f t="shared" si="1"/>
        <v>-4.8076923076923075</v>
      </c>
      <c r="H14">
        <f t="shared" si="2"/>
        <v>0</v>
      </c>
      <c r="I14">
        <v>1</v>
      </c>
    </row>
    <row r="15" spans="1:9" x14ac:dyDescent="0.25">
      <c r="A15">
        <v>6</v>
      </c>
      <c r="B15">
        <v>10</v>
      </c>
      <c r="C15">
        <v>0</v>
      </c>
      <c r="D15">
        <v>0.55600000000000005</v>
      </c>
      <c r="E15">
        <v>0</v>
      </c>
      <c r="F15">
        <f t="shared" si="0"/>
        <v>0</v>
      </c>
      <c r="G15">
        <f t="shared" si="1"/>
        <v>-1.7985611510791364</v>
      </c>
      <c r="H15">
        <f t="shared" si="2"/>
        <v>0</v>
      </c>
      <c r="I15">
        <v>1</v>
      </c>
    </row>
    <row r="16" spans="1:9" x14ac:dyDescent="0.25">
      <c r="A16">
        <v>6</v>
      </c>
      <c r="B16">
        <v>28</v>
      </c>
      <c r="C16">
        <v>1.6899999999999998E-2</v>
      </c>
      <c r="D16">
        <v>5.9900000000000002E-2</v>
      </c>
      <c r="E16">
        <v>1.2999999999999999E-2</v>
      </c>
      <c r="F16">
        <f t="shared" si="0"/>
        <v>4.3628440580129171</v>
      </c>
      <c r="G16">
        <f t="shared" si="1"/>
        <v>-15.463571542897856</v>
      </c>
      <c r="H16">
        <f t="shared" si="2"/>
        <v>-1.2999999999999999E-2</v>
      </c>
      <c r="I16">
        <v>1</v>
      </c>
    </row>
    <row r="17" spans="1:9" x14ac:dyDescent="0.25">
      <c r="A17">
        <v>8</v>
      </c>
      <c r="B17">
        <v>28</v>
      </c>
      <c r="C17">
        <v>6.3600000000000004E-2</v>
      </c>
      <c r="D17">
        <v>0.2</v>
      </c>
      <c r="E17">
        <v>4.2799999999999998E-2</v>
      </c>
      <c r="F17">
        <f t="shared" si="0"/>
        <v>1.4439790613954466</v>
      </c>
      <c r="G17">
        <f t="shared" si="1"/>
        <v>-4.540814658476247</v>
      </c>
      <c r="H17">
        <f t="shared" si="2"/>
        <v>-4.2799999999999998E-2</v>
      </c>
      <c r="I17">
        <v>1</v>
      </c>
    </row>
    <row r="18" spans="1:9" x14ac:dyDescent="0.25">
      <c r="A18">
        <v>9</v>
      </c>
      <c r="B18">
        <v>10</v>
      </c>
      <c r="C18">
        <v>0</v>
      </c>
      <c r="D18">
        <v>0.11</v>
      </c>
      <c r="E18">
        <v>0</v>
      </c>
      <c r="F18">
        <f t="shared" si="0"/>
        <v>0</v>
      </c>
      <c r="G18">
        <f t="shared" si="1"/>
        <v>-9.0909090909090917</v>
      </c>
      <c r="H18">
        <f t="shared" si="2"/>
        <v>0</v>
      </c>
      <c r="I18">
        <v>1</v>
      </c>
    </row>
    <row r="19" spans="1:9" x14ac:dyDescent="0.25">
      <c r="A19">
        <v>9</v>
      </c>
      <c r="B19">
        <v>11</v>
      </c>
      <c r="C19">
        <v>0</v>
      </c>
      <c r="D19">
        <v>0.20799999999999999</v>
      </c>
      <c r="E19">
        <v>0</v>
      </c>
      <c r="F19">
        <f t="shared" si="0"/>
        <v>0</v>
      </c>
      <c r="G19">
        <f t="shared" si="1"/>
        <v>-4.8076923076923075</v>
      </c>
      <c r="H19">
        <f t="shared" si="2"/>
        <v>0</v>
      </c>
      <c r="I19">
        <v>1</v>
      </c>
    </row>
    <row r="20" spans="1:9" x14ac:dyDescent="0.25">
      <c r="A20">
        <v>10</v>
      </c>
      <c r="B20">
        <v>17</v>
      </c>
      <c r="C20">
        <v>3.2399999999999998E-2</v>
      </c>
      <c r="D20">
        <v>8.4500000000000006E-2</v>
      </c>
      <c r="E20">
        <v>0</v>
      </c>
      <c r="F20">
        <f t="shared" si="0"/>
        <v>3.9560391257153524</v>
      </c>
      <c r="G20">
        <f t="shared" si="1"/>
        <v>-10.317447719844054</v>
      </c>
      <c r="H20">
        <f t="shared" si="2"/>
        <v>0</v>
      </c>
      <c r="I20">
        <v>1</v>
      </c>
    </row>
    <row r="21" spans="1:9" x14ac:dyDescent="0.25">
      <c r="A21">
        <v>10</v>
      </c>
      <c r="B21">
        <v>20</v>
      </c>
      <c r="C21">
        <v>9.3600000000000003E-2</v>
      </c>
      <c r="D21">
        <v>0.20899999999999999</v>
      </c>
      <c r="E21">
        <v>0</v>
      </c>
      <c r="F21">
        <f t="shared" si="0"/>
        <v>1.7848303152666303</v>
      </c>
      <c r="G21">
        <f t="shared" si="1"/>
        <v>-3.9853582894308301</v>
      </c>
      <c r="H21">
        <f t="shared" si="2"/>
        <v>0</v>
      </c>
      <c r="I21">
        <v>1</v>
      </c>
    </row>
    <row r="22" spans="1:9" x14ac:dyDescent="0.25">
      <c r="A22">
        <v>10</v>
      </c>
      <c r="B22">
        <v>21</v>
      </c>
      <c r="C22">
        <v>3.4799999999999998E-2</v>
      </c>
      <c r="D22">
        <v>7.4899999999999994E-2</v>
      </c>
      <c r="E22">
        <v>0</v>
      </c>
      <c r="F22">
        <f t="shared" si="0"/>
        <v>5.1018538201596533</v>
      </c>
      <c r="G22">
        <f t="shared" si="1"/>
        <v>-10.980714112929828</v>
      </c>
      <c r="H22">
        <f t="shared" si="2"/>
        <v>0</v>
      </c>
      <c r="I22">
        <v>1</v>
      </c>
    </row>
    <row r="23" spans="1:9" x14ac:dyDescent="0.25">
      <c r="A23">
        <v>10</v>
      </c>
      <c r="B23">
        <v>22</v>
      </c>
      <c r="C23">
        <v>7.2700000000000001E-2</v>
      </c>
      <c r="D23">
        <v>0.14990000000000001</v>
      </c>
      <c r="E23">
        <v>0</v>
      </c>
      <c r="F23">
        <f t="shared" si="0"/>
        <v>2.619319553382597</v>
      </c>
      <c r="G23">
        <f t="shared" si="1"/>
        <v>-5.4007703033294536</v>
      </c>
      <c r="H23">
        <f t="shared" si="2"/>
        <v>0</v>
      </c>
      <c r="I23">
        <v>1</v>
      </c>
    </row>
    <row r="24" spans="1:9" x14ac:dyDescent="0.25">
      <c r="A24">
        <v>12</v>
      </c>
      <c r="B24">
        <v>13</v>
      </c>
      <c r="C24">
        <v>0</v>
      </c>
      <c r="D24">
        <v>0.14000000000000001</v>
      </c>
      <c r="E24">
        <v>0</v>
      </c>
      <c r="F24">
        <f t="shared" si="0"/>
        <v>0</v>
      </c>
      <c r="G24">
        <f t="shared" si="1"/>
        <v>-7.1428571428571423</v>
      </c>
      <c r="H24">
        <f t="shared" si="2"/>
        <v>0</v>
      </c>
      <c r="I24">
        <v>1</v>
      </c>
    </row>
    <row r="25" spans="1:9" x14ac:dyDescent="0.25">
      <c r="A25">
        <v>12</v>
      </c>
      <c r="B25">
        <v>14</v>
      </c>
      <c r="C25">
        <v>0.1231</v>
      </c>
      <c r="D25">
        <v>0.25590000000000002</v>
      </c>
      <c r="E25">
        <v>0</v>
      </c>
      <c r="F25">
        <f t="shared" si="0"/>
        <v>1.5265676088395581</v>
      </c>
      <c r="G25">
        <f t="shared" si="1"/>
        <v>-3.1734252729654178</v>
      </c>
      <c r="H25">
        <f t="shared" si="2"/>
        <v>0</v>
      </c>
      <c r="I25">
        <v>1</v>
      </c>
    </row>
    <row r="26" spans="1:9" x14ac:dyDescent="0.25">
      <c r="A26">
        <v>12</v>
      </c>
      <c r="B26">
        <v>15</v>
      </c>
      <c r="C26">
        <v>6.6199999999999995E-2</v>
      </c>
      <c r="D26">
        <v>0.13039999999999999</v>
      </c>
      <c r="E26">
        <v>0</v>
      </c>
      <c r="F26">
        <f t="shared" si="0"/>
        <v>3.0953961826564296</v>
      </c>
      <c r="G26">
        <f t="shared" si="1"/>
        <v>-6.0972758643262601</v>
      </c>
      <c r="H26">
        <f t="shared" si="2"/>
        <v>0</v>
      </c>
      <c r="I26">
        <v>1</v>
      </c>
    </row>
    <row r="27" spans="1:9" x14ac:dyDescent="0.25">
      <c r="A27">
        <v>12</v>
      </c>
      <c r="B27">
        <v>16</v>
      </c>
      <c r="C27">
        <v>9.4500000000000001E-2</v>
      </c>
      <c r="D27">
        <v>0.19869999999999999</v>
      </c>
      <c r="E27">
        <v>0</v>
      </c>
      <c r="F27">
        <f t="shared" si="0"/>
        <v>1.9519977922801692</v>
      </c>
      <c r="G27">
        <f t="shared" si="1"/>
        <v>-4.1043593791118473</v>
      </c>
      <c r="H27">
        <f t="shared" si="2"/>
        <v>0</v>
      </c>
      <c r="I27">
        <v>1</v>
      </c>
    </row>
    <row r="28" spans="1:9" x14ac:dyDescent="0.25">
      <c r="A28">
        <v>14</v>
      </c>
      <c r="B28">
        <v>15</v>
      </c>
      <c r="C28">
        <v>0.221</v>
      </c>
      <c r="D28">
        <v>0.19969999999999999</v>
      </c>
      <c r="E28">
        <v>0</v>
      </c>
      <c r="F28">
        <f t="shared" si="0"/>
        <v>2.4909522639994615</v>
      </c>
      <c r="G28">
        <f t="shared" si="1"/>
        <v>-2.2508740593696492</v>
      </c>
      <c r="H28">
        <f t="shared" si="2"/>
        <v>0</v>
      </c>
      <c r="I28">
        <v>1</v>
      </c>
    </row>
    <row r="29" spans="1:9" x14ac:dyDescent="0.25">
      <c r="A29">
        <v>15</v>
      </c>
      <c r="B29">
        <v>18</v>
      </c>
      <c r="C29">
        <v>0.10730000000000001</v>
      </c>
      <c r="D29">
        <v>0.2185</v>
      </c>
      <c r="E29">
        <v>0</v>
      </c>
      <c r="F29">
        <f t="shared" si="0"/>
        <v>1.8108011504072026</v>
      </c>
      <c r="G29">
        <f t="shared" si="1"/>
        <v>-3.6874189316306962</v>
      </c>
      <c r="H29">
        <f t="shared" si="2"/>
        <v>0</v>
      </c>
      <c r="I29">
        <v>1</v>
      </c>
    </row>
    <row r="30" spans="1:9" x14ac:dyDescent="0.25">
      <c r="A30">
        <v>15</v>
      </c>
      <c r="B30">
        <v>23</v>
      </c>
      <c r="C30">
        <v>0.1</v>
      </c>
      <c r="D30">
        <v>0.20200000000000001</v>
      </c>
      <c r="E30">
        <v>0</v>
      </c>
      <c r="F30">
        <f t="shared" si="0"/>
        <v>1.968348948901661</v>
      </c>
      <c r="G30">
        <f t="shared" si="1"/>
        <v>-3.9760648767813556</v>
      </c>
      <c r="H30">
        <f t="shared" si="2"/>
        <v>0</v>
      </c>
      <c r="I30">
        <v>1</v>
      </c>
    </row>
    <row r="31" spans="1:9" x14ac:dyDescent="0.25">
      <c r="A31">
        <v>16</v>
      </c>
      <c r="B31">
        <v>17</v>
      </c>
      <c r="C31">
        <v>5.2400000000000002E-2</v>
      </c>
      <c r="D31">
        <v>0.1923</v>
      </c>
      <c r="E31">
        <v>0</v>
      </c>
      <c r="F31">
        <f t="shared" si="0"/>
        <v>1.3190669363537617</v>
      </c>
      <c r="G31">
        <f t="shared" si="1"/>
        <v>-4.8407742721532134</v>
      </c>
      <c r="H31">
        <f t="shared" si="2"/>
        <v>0</v>
      </c>
      <c r="I31">
        <v>1</v>
      </c>
    </row>
    <row r="32" spans="1:9" x14ac:dyDescent="0.25">
      <c r="A32">
        <v>18</v>
      </c>
      <c r="B32">
        <v>19</v>
      </c>
      <c r="C32">
        <v>6.3899999999999998E-2</v>
      </c>
      <c r="D32">
        <v>0.12920000000000001</v>
      </c>
      <c r="E32">
        <v>0</v>
      </c>
      <c r="F32">
        <f t="shared" si="0"/>
        <v>3.0756864340087167</v>
      </c>
      <c r="G32">
        <f t="shared" si="1"/>
        <v>-6.2187587992789704</v>
      </c>
      <c r="H32">
        <f t="shared" si="2"/>
        <v>0</v>
      </c>
      <c r="I32">
        <v>1</v>
      </c>
    </row>
    <row r="33" spans="1:9" x14ac:dyDescent="0.25">
      <c r="A33">
        <v>19</v>
      </c>
      <c r="B33">
        <v>20</v>
      </c>
      <c r="C33">
        <v>3.4000000000000002E-2</v>
      </c>
      <c r="D33">
        <v>6.8000000000000005E-2</v>
      </c>
      <c r="E33">
        <v>0</v>
      </c>
      <c r="F33">
        <f t="shared" si="0"/>
        <v>5.882352941176471</v>
      </c>
      <c r="G33">
        <f t="shared" si="1"/>
        <v>-11.764705882352942</v>
      </c>
      <c r="H33">
        <f t="shared" si="2"/>
        <v>0</v>
      </c>
      <c r="I33">
        <v>1</v>
      </c>
    </row>
    <row r="34" spans="1:9" x14ac:dyDescent="0.25">
      <c r="A34">
        <v>21</v>
      </c>
      <c r="B34">
        <v>22</v>
      </c>
      <c r="C34">
        <v>1.1599999999999999E-2</v>
      </c>
      <c r="D34">
        <v>2.3599999999999999E-2</v>
      </c>
      <c r="E34">
        <v>0</v>
      </c>
      <c r="F34">
        <f t="shared" si="0"/>
        <v>16.774641369736234</v>
      </c>
      <c r="G34">
        <f t="shared" si="1"/>
        <v>-34.127718648773715</v>
      </c>
      <c r="H34">
        <f t="shared" si="2"/>
        <v>0</v>
      </c>
      <c r="I34">
        <v>1</v>
      </c>
    </row>
    <row r="35" spans="1:9" x14ac:dyDescent="0.25">
      <c r="A35">
        <v>22</v>
      </c>
      <c r="B35">
        <v>24</v>
      </c>
      <c r="C35">
        <v>0.115</v>
      </c>
      <c r="D35">
        <v>0.17899999999999999</v>
      </c>
      <c r="E35">
        <v>0</v>
      </c>
      <c r="F35">
        <f t="shared" si="0"/>
        <v>2.5405381522555559</v>
      </c>
      <c r="G35">
        <f t="shared" si="1"/>
        <v>-3.9544028630760391</v>
      </c>
      <c r="H35">
        <f t="shared" si="2"/>
        <v>0</v>
      </c>
      <c r="I35">
        <v>1</v>
      </c>
    </row>
    <row r="36" spans="1:9" x14ac:dyDescent="0.25">
      <c r="A36">
        <v>23</v>
      </c>
      <c r="B36">
        <v>24</v>
      </c>
      <c r="C36">
        <v>0.13200000000000001</v>
      </c>
      <c r="D36">
        <v>0.27</v>
      </c>
      <c r="E36">
        <v>0</v>
      </c>
      <c r="F36">
        <f t="shared" si="0"/>
        <v>1.4614056064833265</v>
      </c>
      <c r="G36">
        <f t="shared" si="1"/>
        <v>-2.989238740534077</v>
      </c>
      <c r="H36">
        <f t="shared" si="2"/>
        <v>0</v>
      </c>
      <c r="I36">
        <v>1</v>
      </c>
    </row>
    <row r="37" spans="1:9" x14ac:dyDescent="0.25">
      <c r="A37">
        <v>24</v>
      </c>
      <c r="B37">
        <v>25</v>
      </c>
      <c r="C37">
        <v>0.1885</v>
      </c>
      <c r="D37">
        <v>0.32919999999999999</v>
      </c>
      <c r="E37">
        <v>0</v>
      </c>
      <c r="F37">
        <f t="shared" si="0"/>
        <v>1.309892943874249</v>
      </c>
      <c r="G37">
        <f t="shared" si="1"/>
        <v>-2.2876220537050544</v>
      </c>
      <c r="H37">
        <f t="shared" si="2"/>
        <v>0</v>
      </c>
      <c r="I37">
        <v>1</v>
      </c>
    </row>
    <row r="38" spans="1:9" x14ac:dyDescent="0.25">
      <c r="A38">
        <v>25</v>
      </c>
      <c r="B38">
        <v>26</v>
      </c>
      <c r="C38">
        <v>0.25440000000000002</v>
      </c>
      <c r="D38">
        <v>0.38</v>
      </c>
      <c r="E38">
        <v>0</v>
      </c>
      <c r="F38">
        <f t="shared" si="0"/>
        <v>1.2165301194494857</v>
      </c>
      <c r="G38">
        <f t="shared" si="1"/>
        <v>-1.8171440463475022</v>
      </c>
      <c r="H38">
        <f t="shared" si="2"/>
        <v>0</v>
      </c>
      <c r="I38">
        <v>1</v>
      </c>
    </row>
    <row r="39" spans="1:9" x14ac:dyDescent="0.25">
      <c r="A39">
        <v>25</v>
      </c>
      <c r="B39">
        <v>27</v>
      </c>
      <c r="C39">
        <v>0.10929999999999999</v>
      </c>
      <c r="D39">
        <v>0.2087</v>
      </c>
      <c r="E39">
        <v>0</v>
      </c>
      <c r="F39">
        <f t="shared" si="0"/>
        <v>1.9692920169982513</v>
      </c>
      <c r="G39">
        <f t="shared" si="1"/>
        <v>-3.7602126619170635</v>
      </c>
      <c r="H39">
        <f t="shared" si="2"/>
        <v>0</v>
      </c>
      <c r="I39">
        <v>1</v>
      </c>
    </row>
    <row r="40" spans="1:9" x14ac:dyDescent="0.25">
      <c r="A40">
        <v>28</v>
      </c>
      <c r="B40">
        <v>27</v>
      </c>
      <c r="C40">
        <v>0</v>
      </c>
      <c r="D40">
        <v>0.39600000000000002</v>
      </c>
      <c r="E40">
        <v>0</v>
      </c>
      <c r="F40">
        <f t="shared" si="0"/>
        <v>0</v>
      </c>
      <c r="G40">
        <f t="shared" si="1"/>
        <v>-2.5252525252525251</v>
      </c>
      <c r="H40">
        <f t="shared" si="2"/>
        <v>0</v>
      </c>
      <c r="I40">
        <v>1</v>
      </c>
    </row>
    <row r="41" spans="1:9" x14ac:dyDescent="0.25">
      <c r="A41">
        <v>27</v>
      </c>
      <c r="B41">
        <v>29</v>
      </c>
      <c r="C41">
        <v>0.2198</v>
      </c>
      <c r="D41">
        <v>0.4153</v>
      </c>
      <c r="E41">
        <v>0</v>
      </c>
      <c r="F41">
        <f t="shared" si="0"/>
        <v>0.99553355095267981</v>
      </c>
      <c r="G41">
        <f t="shared" si="1"/>
        <v>-1.881005840357816</v>
      </c>
      <c r="H41">
        <f t="shared" si="2"/>
        <v>0</v>
      </c>
      <c r="I41">
        <v>1</v>
      </c>
    </row>
    <row r="42" spans="1:9" x14ac:dyDescent="0.25">
      <c r="A42">
        <v>27</v>
      </c>
      <c r="B42">
        <v>30</v>
      </c>
      <c r="C42">
        <v>0.32019999999999998</v>
      </c>
      <c r="D42">
        <v>0.60270000000000001</v>
      </c>
      <c r="E42">
        <v>0</v>
      </c>
      <c r="F42">
        <f t="shared" si="0"/>
        <v>0.68745590282765723</v>
      </c>
      <c r="G42">
        <f t="shared" si="1"/>
        <v>-1.2939714947977172</v>
      </c>
      <c r="H42">
        <f t="shared" si="2"/>
        <v>0</v>
      </c>
      <c r="I42">
        <v>1</v>
      </c>
    </row>
    <row r="43" spans="1:9" x14ac:dyDescent="0.25">
      <c r="A43">
        <v>29</v>
      </c>
      <c r="B43">
        <v>30</v>
      </c>
      <c r="C43">
        <v>0.2399</v>
      </c>
      <c r="D43">
        <v>0.45329999999999998</v>
      </c>
      <c r="E43">
        <v>0</v>
      </c>
      <c r="F43">
        <f t="shared" si="0"/>
        <v>0.91205320703227633</v>
      </c>
      <c r="G43">
        <f t="shared" si="1"/>
        <v>-1.7233585608492323</v>
      </c>
      <c r="H43">
        <f t="shared" si="2"/>
        <v>0</v>
      </c>
      <c r="I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workbookViewId="0">
      <selection activeCell="R32" sqref="R32"/>
    </sheetView>
  </sheetViews>
  <sheetFormatPr defaultRowHeight="15" x14ac:dyDescent="0.25"/>
  <sheetData>
    <row r="1" spans="1:31" x14ac:dyDescent="0.25">
      <c r="B1">
        <v>1</v>
      </c>
      <c r="C1">
        <f>B1+1</f>
        <v>2</v>
      </c>
      <c r="D1">
        <f t="shared" ref="D1:AE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</row>
    <row r="2" spans="1:31" x14ac:dyDescent="0.25">
      <c r="A2">
        <v>1</v>
      </c>
      <c r="B2">
        <v>0</v>
      </c>
      <c r="C2">
        <v>5.2246461798856556</v>
      </c>
      <c r="D2">
        <v>1.5408698687669764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25">
      <c r="A3">
        <f>A2+1</f>
        <v>2</v>
      </c>
      <c r="B3">
        <v>5.2246461798856556</v>
      </c>
      <c r="C3">
        <v>0</v>
      </c>
      <c r="D3">
        <v>0</v>
      </c>
      <c r="E3">
        <v>1.7055303166990272</v>
      </c>
      <c r="F3">
        <v>1.135960788173878</v>
      </c>
      <c r="G3">
        <v>1.6861448807654689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>
        <f t="shared" ref="A4:A31" si="1">A3+1</f>
        <v>3</v>
      </c>
      <c r="B4">
        <v>1.5408698687669764</v>
      </c>
      <c r="C4">
        <v>0</v>
      </c>
      <c r="D4">
        <v>0</v>
      </c>
      <c r="E4">
        <v>8.1954490423121094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>
        <f t="shared" si="1"/>
        <v>4</v>
      </c>
      <c r="B5">
        <v>0</v>
      </c>
      <c r="C5">
        <v>1.7055303166990272</v>
      </c>
      <c r="D5">
        <v>8.1954490423121094</v>
      </c>
      <c r="E5">
        <v>0</v>
      </c>
      <c r="F5">
        <v>0</v>
      </c>
      <c r="G5">
        <v>6.4131237301745561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>
        <f t="shared" si="1"/>
        <v>5</v>
      </c>
      <c r="B6">
        <v>0</v>
      </c>
      <c r="C6">
        <v>1.135960788173878</v>
      </c>
      <c r="D6">
        <v>0</v>
      </c>
      <c r="E6">
        <v>0</v>
      </c>
      <c r="F6">
        <v>0</v>
      </c>
      <c r="G6">
        <v>0</v>
      </c>
      <c r="H6">
        <v>2.954020035961983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>
        <f t="shared" si="1"/>
        <v>6</v>
      </c>
      <c r="B7">
        <v>0</v>
      </c>
      <c r="C7">
        <v>1.6861448807654689</v>
      </c>
      <c r="D7">
        <v>0</v>
      </c>
      <c r="E7">
        <v>6.4131237301745561</v>
      </c>
      <c r="F7">
        <v>0</v>
      </c>
      <c r="G7">
        <v>0</v>
      </c>
      <c r="H7">
        <v>3.590210423980992</v>
      </c>
      <c r="I7">
        <v>6.2893081761006284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4.3628440580129171</v>
      </c>
      <c r="AD7">
        <v>0</v>
      </c>
      <c r="AE7">
        <v>0</v>
      </c>
    </row>
    <row r="8" spans="1:31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2.954020035961983</v>
      </c>
      <c r="G8">
        <v>3.590210423980992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6.2893081761006284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1.4439790613954466</v>
      </c>
      <c r="AD9">
        <v>0</v>
      </c>
      <c r="AE9">
        <v>0</v>
      </c>
    </row>
    <row r="10" spans="1:31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3.9560391257153524</v>
      </c>
      <c r="S11">
        <v>0</v>
      </c>
      <c r="T11">
        <v>0</v>
      </c>
      <c r="U11">
        <v>1.7848303152666303</v>
      </c>
      <c r="V11">
        <v>5.1018538201596533</v>
      </c>
      <c r="W11">
        <v>2.619319553382597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1.5265676088395581</v>
      </c>
      <c r="P13">
        <v>3.0953961826564296</v>
      </c>
      <c r="Q13">
        <v>1.9519977922801692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1.5265676088395581</v>
      </c>
      <c r="N15">
        <v>0</v>
      </c>
      <c r="O15">
        <v>0</v>
      </c>
      <c r="P15">
        <v>2.4909522639994615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>
        <f t="shared" si="1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3.0953961826564296</v>
      </c>
      <c r="N16">
        <v>0</v>
      </c>
      <c r="O16">
        <v>2.4909522639994615</v>
      </c>
      <c r="P16">
        <v>0</v>
      </c>
      <c r="Q16">
        <v>0</v>
      </c>
      <c r="R16">
        <v>0</v>
      </c>
      <c r="S16">
        <v>1.8108011504072026</v>
      </c>
      <c r="T16">
        <v>0</v>
      </c>
      <c r="U16">
        <v>0</v>
      </c>
      <c r="V16">
        <v>0</v>
      </c>
      <c r="W16">
        <v>0</v>
      </c>
      <c r="X16">
        <v>1.968348948901661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>
        <f t="shared" si="1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1.9519977922801692</v>
      </c>
      <c r="N17">
        <v>0</v>
      </c>
      <c r="O17">
        <v>0</v>
      </c>
      <c r="P17">
        <v>0</v>
      </c>
      <c r="Q17">
        <v>0</v>
      </c>
      <c r="R17">
        <v>1.3190669363537617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>
        <f t="shared" si="1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3.9560391257153524</v>
      </c>
      <c r="L18">
        <v>0</v>
      </c>
      <c r="M18">
        <v>0</v>
      </c>
      <c r="N18">
        <v>0</v>
      </c>
      <c r="O18">
        <v>0</v>
      </c>
      <c r="P18">
        <v>0</v>
      </c>
      <c r="Q18">
        <v>1.3190669363537617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1.8108011504072026</v>
      </c>
      <c r="Q19">
        <v>0</v>
      </c>
      <c r="R19">
        <v>0</v>
      </c>
      <c r="S19">
        <v>0</v>
      </c>
      <c r="T19">
        <v>3.0756864340087167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3.0756864340087167</v>
      </c>
      <c r="T20">
        <v>0</v>
      </c>
      <c r="U20">
        <v>5.882352941176471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1.7848303152666303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5.882352941176471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5.1018538201596533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16.774641369736234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2.619319553382597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16.774641369736234</v>
      </c>
      <c r="W23">
        <v>0</v>
      </c>
      <c r="X23">
        <v>0</v>
      </c>
      <c r="Y23">
        <v>2.5405381522555559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1.968348948901661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1.4614056064833265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2.5405381522555559</v>
      </c>
      <c r="X25">
        <v>1.4614056064833265</v>
      </c>
      <c r="Y25">
        <v>0</v>
      </c>
      <c r="Z25">
        <v>1.309892943874249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1.309892943874249</v>
      </c>
      <c r="Z26">
        <v>0</v>
      </c>
      <c r="AA26">
        <v>1.2165301194494857</v>
      </c>
      <c r="AB26">
        <v>1.9692920169982513</v>
      </c>
      <c r="AC26">
        <v>0</v>
      </c>
      <c r="AD26">
        <v>0</v>
      </c>
      <c r="AE26">
        <v>0</v>
      </c>
    </row>
    <row r="27" spans="1:31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1.2165301194494857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1.9692920169982513</v>
      </c>
      <c r="AA28">
        <v>0</v>
      </c>
      <c r="AB28">
        <v>0</v>
      </c>
      <c r="AC28">
        <v>0</v>
      </c>
      <c r="AD28">
        <v>0.99553355095267981</v>
      </c>
      <c r="AE28">
        <v>0.68745590282765723</v>
      </c>
    </row>
    <row r="29" spans="1:31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4.3628440580129171</v>
      </c>
      <c r="H29">
        <v>0</v>
      </c>
      <c r="I29">
        <v>1.4439790613954466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0.99553355095267981</v>
      </c>
      <c r="AC30">
        <v>0</v>
      </c>
      <c r="AD30">
        <v>0</v>
      </c>
      <c r="AE30">
        <v>0.91205320703227633</v>
      </c>
    </row>
    <row r="31" spans="1:31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0.68745590282765723</v>
      </c>
      <c r="AC31">
        <v>0</v>
      </c>
      <c r="AD31">
        <v>0.91205320703227633</v>
      </c>
      <c r="AE3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1"/>
  <sheetViews>
    <sheetView workbookViewId="0">
      <selection activeCell="B2" sqref="B2:AE31"/>
    </sheetView>
  </sheetViews>
  <sheetFormatPr defaultRowHeight="15" x14ac:dyDescent="0.25"/>
  <sheetData>
    <row r="1" spans="1:31" x14ac:dyDescent="0.25">
      <c r="B1">
        <v>1</v>
      </c>
      <c r="C1">
        <f>B1+1</f>
        <v>2</v>
      </c>
      <c r="D1">
        <f t="shared" ref="D1:AE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</row>
    <row r="2" spans="1:31" x14ac:dyDescent="0.25">
      <c r="A2">
        <v>1</v>
      </c>
      <c r="B2">
        <v>0</v>
      </c>
      <c r="C2">
        <v>-15.646726840803398</v>
      </c>
      <c r="D2">
        <v>-5.6316748300952337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25">
      <c r="A3">
        <f>A2+1</f>
        <v>2</v>
      </c>
      <c r="B3">
        <v>-15.646726840803398</v>
      </c>
      <c r="C3">
        <v>0</v>
      </c>
      <c r="D3">
        <v>0</v>
      </c>
      <c r="E3">
        <v>-5.1973792282565086</v>
      </c>
      <c r="F3">
        <v>-4.7724793282813565</v>
      </c>
      <c r="G3">
        <v>-5.1164774953348058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>
        <f t="shared" ref="A4:A31" si="1">A3+1</f>
        <v>3</v>
      </c>
      <c r="B4">
        <v>-5.6316748300952337</v>
      </c>
      <c r="C4">
        <v>0</v>
      </c>
      <c r="D4">
        <v>0</v>
      </c>
      <c r="E4">
        <v>-23.530872629062802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>
        <f t="shared" si="1"/>
        <v>4</v>
      </c>
      <c r="B5">
        <v>0</v>
      </c>
      <c r="C5">
        <v>-5.1973792282565086</v>
      </c>
      <c r="D5">
        <v>-23.530872629062802</v>
      </c>
      <c r="E5">
        <v>0</v>
      </c>
      <c r="F5">
        <v>0</v>
      </c>
      <c r="G5">
        <v>-22.311203565481225</v>
      </c>
      <c r="H5">
        <v>0</v>
      </c>
      <c r="I5">
        <v>0</v>
      </c>
      <c r="J5">
        <v>0</v>
      </c>
      <c r="K5">
        <v>0</v>
      </c>
      <c r="L5">
        <v>0</v>
      </c>
      <c r="M5">
        <v>-3.9062500000000004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>
        <f t="shared" si="1"/>
        <v>5</v>
      </c>
      <c r="B6">
        <v>0</v>
      </c>
      <c r="C6">
        <v>-4.7724793282813565</v>
      </c>
      <c r="D6">
        <v>0</v>
      </c>
      <c r="E6">
        <v>0</v>
      </c>
      <c r="F6">
        <v>0</v>
      </c>
      <c r="G6">
        <v>0</v>
      </c>
      <c r="H6">
        <v>-7.4492679167736968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>
        <f t="shared" si="1"/>
        <v>6</v>
      </c>
      <c r="B7">
        <v>0</v>
      </c>
      <c r="C7">
        <v>-5.1164774953348058</v>
      </c>
      <c r="D7">
        <v>0</v>
      </c>
      <c r="E7">
        <v>-22.311203565481225</v>
      </c>
      <c r="F7">
        <v>0</v>
      </c>
      <c r="G7">
        <v>0</v>
      </c>
      <c r="H7">
        <v>-11.026114410728139</v>
      </c>
      <c r="I7">
        <v>-22.012578616352201</v>
      </c>
      <c r="J7">
        <v>-4.8076923076923075</v>
      </c>
      <c r="K7">
        <v>-1.7985611510791364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-15.463571542897856</v>
      </c>
      <c r="AD7">
        <v>0</v>
      </c>
      <c r="AE7">
        <v>0</v>
      </c>
    </row>
    <row r="8" spans="1:31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-7.4492679167736968</v>
      </c>
      <c r="G8">
        <v>-11.026114410728139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-22.012578616352201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-4.540814658476247</v>
      </c>
      <c r="AD9">
        <v>0</v>
      </c>
      <c r="AE9">
        <v>0</v>
      </c>
    </row>
    <row r="10" spans="1:31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-4.8076923076923075</v>
      </c>
      <c r="H10">
        <v>0</v>
      </c>
      <c r="I10">
        <v>0</v>
      </c>
      <c r="J10">
        <v>0</v>
      </c>
      <c r="K10">
        <v>-9.0909090909090917</v>
      </c>
      <c r="L10">
        <v>-4.8076923076923075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-1.7985611510791364</v>
      </c>
      <c r="H11">
        <v>0</v>
      </c>
      <c r="I11">
        <v>0</v>
      </c>
      <c r="J11">
        <v>-9.0909090909090917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-10.317447719844054</v>
      </c>
      <c r="S11">
        <v>0</v>
      </c>
      <c r="T11">
        <v>0</v>
      </c>
      <c r="U11">
        <v>-3.9853582894308301</v>
      </c>
      <c r="V11">
        <v>-10.980714112929828</v>
      </c>
      <c r="W11">
        <v>-5.4007703033294536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-4.8076923076923075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>
        <f t="shared" si="1"/>
        <v>12</v>
      </c>
      <c r="B13">
        <v>0</v>
      </c>
      <c r="C13">
        <v>0</v>
      </c>
      <c r="D13">
        <v>0</v>
      </c>
      <c r="E13">
        <v>-3.9062500000000004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-7.1428571428571423</v>
      </c>
      <c r="O13">
        <v>-3.1734252729654178</v>
      </c>
      <c r="P13">
        <v>-6.0972758643262601</v>
      </c>
      <c r="Q13">
        <v>-4.1043593791118473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-7.1428571428571423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-3.1734252729654178</v>
      </c>
      <c r="N15">
        <v>0</v>
      </c>
      <c r="O15">
        <v>0</v>
      </c>
      <c r="P15">
        <v>-2.2508740593696492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>
        <f t="shared" si="1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-6.0972758643262601</v>
      </c>
      <c r="N16">
        <v>0</v>
      </c>
      <c r="O16">
        <v>-2.2508740593696492</v>
      </c>
      <c r="P16">
        <v>0</v>
      </c>
      <c r="Q16">
        <v>0</v>
      </c>
      <c r="R16">
        <v>0</v>
      </c>
      <c r="S16">
        <v>-3.6874189316306962</v>
      </c>
      <c r="T16">
        <v>0</v>
      </c>
      <c r="U16">
        <v>0</v>
      </c>
      <c r="V16">
        <v>0</v>
      </c>
      <c r="W16">
        <v>0</v>
      </c>
      <c r="X16">
        <v>-3.9760648767813556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>
        <f t="shared" si="1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-4.1043593791118473</v>
      </c>
      <c r="N17">
        <v>0</v>
      </c>
      <c r="O17">
        <v>0</v>
      </c>
      <c r="P17">
        <v>0</v>
      </c>
      <c r="Q17">
        <v>0</v>
      </c>
      <c r="R17">
        <v>-4.8407742721532134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>
        <f t="shared" si="1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-10.317447719844054</v>
      </c>
      <c r="L18">
        <v>0</v>
      </c>
      <c r="M18">
        <v>0</v>
      </c>
      <c r="N18">
        <v>0</v>
      </c>
      <c r="O18">
        <v>0</v>
      </c>
      <c r="P18">
        <v>0</v>
      </c>
      <c r="Q18">
        <v>-4.8407742721532134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-3.6874189316306962</v>
      </c>
      <c r="Q19">
        <v>0</v>
      </c>
      <c r="R19">
        <v>0</v>
      </c>
      <c r="S19">
        <v>0</v>
      </c>
      <c r="T19">
        <v>-6.2187587992789704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-6.2187587992789704</v>
      </c>
      <c r="T20">
        <v>0</v>
      </c>
      <c r="U20">
        <v>-11.764705882352942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-3.9853582894308301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-11.764705882352942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-10.980714112929828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-34.127718648773715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-5.4007703033294536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-34.127718648773715</v>
      </c>
      <c r="W23">
        <v>0</v>
      </c>
      <c r="X23">
        <v>0</v>
      </c>
      <c r="Y23">
        <v>-3.9544028630760391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-3.9760648767813556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-2.989238740534077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-3.9544028630760391</v>
      </c>
      <c r="X25">
        <v>-2.989238740534077</v>
      </c>
      <c r="Y25">
        <v>0</v>
      </c>
      <c r="Z25">
        <v>-2.2876220537050544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-2.2876220537050544</v>
      </c>
      <c r="Z26">
        <v>0</v>
      </c>
      <c r="AA26">
        <v>-1.8171440463475022</v>
      </c>
      <c r="AB26">
        <v>-3.7602126619170635</v>
      </c>
      <c r="AC26">
        <v>0</v>
      </c>
      <c r="AD26">
        <v>0</v>
      </c>
      <c r="AE26">
        <v>0</v>
      </c>
    </row>
    <row r="27" spans="1:31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-1.8171440463475022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-3.7602126619170635</v>
      </c>
      <c r="AA28">
        <v>0</v>
      </c>
      <c r="AB28">
        <v>0</v>
      </c>
      <c r="AC28">
        <v>-2.5252525252525251</v>
      </c>
      <c r="AD28">
        <v>-1.881005840357816</v>
      </c>
      <c r="AE28">
        <v>-1.2939714947977172</v>
      </c>
    </row>
    <row r="29" spans="1:31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-15.463571542897856</v>
      </c>
      <c r="H29">
        <v>0</v>
      </c>
      <c r="I29">
        <v>-4.540814658476247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-2.5252525252525251</v>
      </c>
      <c r="AC29">
        <v>0</v>
      </c>
      <c r="AD29">
        <v>0</v>
      </c>
      <c r="AE29">
        <v>0</v>
      </c>
    </row>
    <row r="30" spans="1:31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-1.881005840357816</v>
      </c>
      <c r="AC30">
        <v>0</v>
      </c>
      <c r="AD30">
        <v>0</v>
      </c>
      <c r="AE30">
        <v>-1.7233585608492323</v>
      </c>
    </row>
    <row r="31" spans="1:31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-1.2939714947977172</v>
      </c>
      <c r="AC31">
        <v>0</v>
      </c>
      <c r="AD31">
        <v>-1.7233585608492323</v>
      </c>
      <c r="AE3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31"/>
  <sheetViews>
    <sheetView workbookViewId="0">
      <selection activeCell="B2" sqref="B2:AE31"/>
    </sheetView>
  </sheetViews>
  <sheetFormatPr defaultRowHeight="15" x14ac:dyDescent="0.25"/>
  <sheetData>
    <row r="1" spans="1:31" x14ac:dyDescent="0.25">
      <c r="B1">
        <v>1</v>
      </c>
      <c r="C1">
        <f>B1+1</f>
        <v>2</v>
      </c>
      <c r="D1">
        <f t="shared" ref="D1:AE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>AB1+1</f>
        <v>28</v>
      </c>
      <c r="AD1">
        <f t="shared" si="0"/>
        <v>29</v>
      </c>
      <c r="AE1">
        <f t="shared" si="0"/>
        <v>30</v>
      </c>
    </row>
    <row r="2" spans="1:31" x14ac:dyDescent="0.25">
      <c r="A2">
        <v>1</v>
      </c>
      <c r="B2">
        <v>0</v>
      </c>
      <c r="C2">
        <v>-5.28E-2</v>
      </c>
      <c r="D2">
        <v>-4.0800000000000003E-2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25">
      <c r="A3">
        <f>A2+1</f>
        <v>2</v>
      </c>
      <c r="B3">
        <v>-5.28E-2</v>
      </c>
      <c r="C3">
        <v>0</v>
      </c>
      <c r="D3">
        <v>0</v>
      </c>
      <c r="E3">
        <v>-3.6799999999999999E-2</v>
      </c>
      <c r="F3">
        <v>-4.1799999999999997E-2</v>
      </c>
      <c r="G3">
        <v>-3.7400000000000003E-2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>
        <f t="shared" ref="A4:A31" si="1">A3+1</f>
        <v>3</v>
      </c>
      <c r="B4">
        <v>-4.0800000000000003E-2</v>
      </c>
      <c r="C4">
        <v>0</v>
      </c>
      <c r="D4">
        <v>0</v>
      </c>
      <c r="E4">
        <v>-8.3999999999999995E-3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>
        <f t="shared" si="1"/>
        <v>4</v>
      </c>
      <c r="B5">
        <v>0</v>
      </c>
      <c r="C5">
        <v>-3.6799999999999999E-2</v>
      </c>
      <c r="D5">
        <v>-8.3999999999999995E-3</v>
      </c>
      <c r="E5">
        <v>0</v>
      </c>
      <c r="F5">
        <v>0</v>
      </c>
      <c r="G5">
        <v>-8.9999999999999993E-3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>
        <f t="shared" si="1"/>
        <v>5</v>
      </c>
      <c r="B6">
        <v>0</v>
      </c>
      <c r="C6">
        <v>-4.1799999999999997E-2</v>
      </c>
      <c r="D6">
        <v>0</v>
      </c>
      <c r="E6">
        <v>0</v>
      </c>
      <c r="F6">
        <v>0</v>
      </c>
      <c r="G6">
        <v>0</v>
      </c>
      <c r="H6">
        <v>-2.0400000000000001E-2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>
        <f t="shared" si="1"/>
        <v>6</v>
      </c>
      <c r="B7">
        <v>0</v>
      </c>
      <c r="C7">
        <v>-3.7400000000000003E-2</v>
      </c>
      <c r="D7">
        <v>0</v>
      </c>
      <c r="E7">
        <v>-8.9999999999999993E-3</v>
      </c>
      <c r="F7">
        <v>0</v>
      </c>
      <c r="G7">
        <v>0</v>
      </c>
      <c r="H7">
        <v>-1.7000000000000001E-2</v>
      </c>
      <c r="I7">
        <v>-8.9999999999999993E-3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-1.2999999999999999E-2</v>
      </c>
      <c r="AD7">
        <v>0</v>
      </c>
      <c r="AE7">
        <v>0</v>
      </c>
    </row>
    <row r="8" spans="1:31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-2.0400000000000001E-2</v>
      </c>
      <c r="G8">
        <v>-1.7000000000000001E-2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-8.9999999999999993E-3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-4.2799999999999998E-2</v>
      </c>
      <c r="AD9">
        <v>0</v>
      </c>
      <c r="AE9">
        <v>0</v>
      </c>
    </row>
    <row r="10" spans="1:31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>
        <f t="shared" si="1"/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>
        <f t="shared" si="1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>
        <f t="shared" si="1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>
        <f t="shared" si="1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</row>
    <row r="27" spans="1:31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</row>
    <row r="29" spans="1:31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-1.2999999999999999E-2</v>
      </c>
      <c r="H29">
        <v>0</v>
      </c>
      <c r="I29">
        <v>-4.2799999999999998E-2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</row>
    <row r="30" spans="1:31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1"/>
  <sheetViews>
    <sheetView workbookViewId="0">
      <selection activeCell="I32" sqref="I32"/>
    </sheetView>
  </sheetViews>
  <sheetFormatPr defaultRowHeight="15" x14ac:dyDescent="0.25"/>
  <sheetData>
    <row r="1" spans="1:31" x14ac:dyDescent="0.25">
      <c r="B1">
        <v>1</v>
      </c>
      <c r="C1">
        <f>B1+1</f>
        <v>2</v>
      </c>
      <c r="D1">
        <f t="shared" ref="D1:AE1" si="0">C1+1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 t="shared" si="0"/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 t="shared" si="0"/>
        <v>24</v>
      </c>
      <c r="Z1">
        <f t="shared" si="0"/>
        <v>25</v>
      </c>
      <c r="AA1">
        <f t="shared" si="0"/>
        <v>26</v>
      </c>
      <c r="AB1">
        <f t="shared" si="0"/>
        <v>27</v>
      </c>
      <c r="AC1">
        <f t="shared" si="0"/>
        <v>28</v>
      </c>
      <c r="AD1">
        <f t="shared" si="0"/>
        <v>29</v>
      </c>
      <c r="AE1">
        <f t="shared" si="0"/>
        <v>30</v>
      </c>
    </row>
    <row r="2" spans="1:31" x14ac:dyDescent="0.25">
      <c r="A2">
        <v>1</v>
      </c>
      <c r="B2">
        <v>0</v>
      </c>
      <c r="C2">
        <v>1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</row>
    <row r="3" spans="1:31" x14ac:dyDescent="0.25">
      <c r="A3">
        <f>A2+1</f>
        <v>2</v>
      </c>
      <c r="B3">
        <v>1</v>
      </c>
      <c r="C3">
        <v>0</v>
      </c>
      <c r="D3">
        <v>0</v>
      </c>
      <c r="E3">
        <v>1</v>
      </c>
      <c r="F3">
        <v>1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>
        <f t="shared" ref="A4:A31" si="1">A3+1</f>
        <v>3</v>
      </c>
      <c r="B4">
        <v>1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>
        <f t="shared" si="1"/>
        <v>4</v>
      </c>
      <c r="B5">
        <v>0</v>
      </c>
      <c r="C5">
        <v>1</v>
      </c>
      <c r="D5">
        <v>1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1:31" x14ac:dyDescent="0.25">
      <c r="A6">
        <f t="shared" si="1"/>
        <v>5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>
        <f t="shared" si="1"/>
        <v>6</v>
      </c>
      <c r="B7">
        <v>0</v>
      </c>
      <c r="C7">
        <v>1</v>
      </c>
      <c r="D7">
        <v>0</v>
      </c>
      <c r="E7">
        <v>1</v>
      </c>
      <c r="F7">
        <v>0</v>
      </c>
      <c r="G7">
        <v>0</v>
      </c>
      <c r="H7">
        <v>1</v>
      </c>
      <c r="I7">
        <v>1</v>
      </c>
      <c r="J7">
        <v>1</v>
      </c>
      <c r="K7">
        <v>1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0</v>
      </c>
      <c r="AE7">
        <v>0</v>
      </c>
    </row>
    <row r="8" spans="1:31" x14ac:dyDescent="0.25">
      <c r="A8">
        <f t="shared" si="1"/>
        <v>7</v>
      </c>
      <c r="B8">
        <v>0</v>
      </c>
      <c r="C8">
        <v>0</v>
      </c>
      <c r="D8">
        <v>0</v>
      </c>
      <c r="E8">
        <v>0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5">
      <c r="A9">
        <f t="shared" si="1"/>
        <v>8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0</v>
      </c>
      <c r="AE9">
        <v>0</v>
      </c>
    </row>
    <row r="10" spans="1:31" x14ac:dyDescent="0.25">
      <c r="A10">
        <f t="shared" si="1"/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>
        <f t="shared" si="1"/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0</v>
      </c>
      <c r="T11">
        <v>0</v>
      </c>
      <c r="U11">
        <v>1</v>
      </c>
      <c r="V11">
        <v>1</v>
      </c>
      <c r="W11">
        <v>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5">
      <c r="A12">
        <f t="shared" si="1"/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5">
      <c r="A13">
        <f t="shared" si="1"/>
        <v>12</v>
      </c>
      <c r="B13">
        <v>0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</v>
      </c>
      <c r="O13">
        <v>1</v>
      </c>
      <c r="P13">
        <v>1</v>
      </c>
      <c r="Q13">
        <v>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</row>
    <row r="14" spans="1:31" x14ac:dyDescent="0.25">
      <c r="A14">
        <f t="shared" si="1"/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1:31" x14ac:dyDescent="0.25">
      <c r="A15">
        <f t="shared" si="1"/>
        <v>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>
        <f t="shared" si="1"/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0</v>
      </c>
      <c r="O16">
        <v>1</v>
      </c>
      <c r="P16">
        <v>0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</row>
    <row r="17" spans="1:31" x14ac:dyDescent="0.25">
      <c r="A17">
        <f t="shared" si="1"/>
        <v>16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</row>
    <row r="18" spans="1:31" x14ac:dyDescent="0.25">
      <c r="A18">
        <f t="shared" si="1"/>
        <v>17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>
        <f t="shared" si="1"/>
        <v>18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>
        <f t="shared" si="1"/>
        <v>19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>
        <f t="shared" si="1"/>
        <v>20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</row>
    <row r="22" spans="1:31" x14ac:dyDescent="0.25">
      <c r="A22">
        <f t="shared" si="1"/>
        <v>21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>
        <f t="shared" si="1"/>
        <v>22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0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>
        <f t="shared" si="1"/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1:31" x14ac:dyDescent="0.25">
      <c r="A25">
        <f t="shared" si="1"/>
        <v>24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</v>
      </c>
      <c r="X25">
        <v>1</v>
      </c>
      <c r="Y25">
        <v>0</v>
      </c>
      <c r="Z25">
        <v>1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1:31" x14ac:dyDescent="0.25">
      <c r="A26">
        <f t="shared" si="1"/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Z26">
        <v>0</v>
      </c>
      <c r="AA26">
        <v>1</v>
      </c>
      <c r="AB26">
        <v>1</v>
      </c>
      <c r="AC26">
        <v>0</v>
      </c>
      <c r="AD26">
        <v>0</v>
      </c>
      <c r="AE26">
        <v>0</v>
      </c>
    </row>
    <row r="27" spans="1:31" x14ac:dyDescent="0.25">
      <c r="A27">
        <f t="shared" si="1"/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>
        <f t="shared" si="1"/>
        <v>27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1</v>
      </c>
      <c r="AD28">
        <v>1</v>
      </c>
      <c r="AE28">
        <v>1</v>
      </c>
    </row>
    <row r="29" spans="1:31" x14ac:dyDescent="0.25">
      <c r="A29">
        <f t="shared" si="1"/>
        <v>28</v>
      </c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0</v>
      </c>
    </row>
    <row r="30" spans="1:31" x14ac:dyDescent="0.25">
      <c r="A30">
        <f t="shared" si="1"/>
        <v>29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1</v>
      </c>
      <c r="AC30">
        <v>0</v>
      </c>
      <c r="AD30">
        <v>0</v>
      </c>
      <c r="AE30">
        <v>1</v>
      </c>
    </row>
    <row r="31" spans="1:31" x14ac:dyDescent="0.25">
      <c r="A31">
        <f t="shared" si="1"/>
        <v>30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1</v>
      </c>
      <c r="AE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</vt:lpstr>
      <vt:lpstr>line</vt:lpstr>
      <vt:lpstr>Sheet3</vt:lpstr>
      <vt:lpstr>Sheet1</vt:lpstr>
      <vt:lpstr>Sheet2</vt:lpstr>
      <vt:lpstr>Sheet4</vt:lpstr>
    </vt:vector>
  </TitlesOfParts>
  <Company>Windows User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Chavez</dc:creator>
  <cp:lastModifiedBy>sc32589</cp:lastModifiedBy>
  <dcterms:created xsi:type="dcterms:W3CDTF">2012-02-25T02:02:39Z</dcterms:created>
  <dcterms:modified xsi:type="dcterms:W3CDTF">2012-06-04T04:52:41Z</dcterms:modified>
</cp:coreProperties>
</file>