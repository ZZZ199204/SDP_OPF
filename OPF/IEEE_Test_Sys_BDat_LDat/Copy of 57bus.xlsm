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45" windowWidth="19440" windowHeight="7995"/>
  </bookViews>
  <sheets>
    <sheet name="Y" sheetId="1" r:id="rId1"/>
    <sheet name="line" sheetId="2" r:id="rId2"/>
    <sheet name="Sheet3" sheetId="3" r:id="rId3"/>
    <sheet name="Sheet1" sheetId="4" r:id="rId4"/>
    <sheet name="Sheet2" sheetId="5" r:id="rId5"/>
    <sheet name="Sheet4" sheetId="6" r:id="rId6"/>
  </sheets>
  <calcPr calcId="145621"/>
</workbook>
</file>

<file path=xl/calcChain.xml><?xml version="1.0" encoding="utf-8"?>
<calcChain xmlns="http://schemas.openxmlformats.org/spreadsheetml/2006/main">
  <c r="BF42" i="1" l="1"/>
  <c r="BG41" i="1"/>
  <c r="AP58" i="1"/>
  <c r="AO59" i="1"/>
  <c r="AS43" i="1" l="1"/>
  <c r="AQ45" i="1"/>
  <c r="Q47" i="1"/>
  <c r="P48" i="1"/>
  <c r="O51" i="1"/>
  <c r="K57" i="1"/>
  <c r="L53" i="1"/>
  <c r="M45" i="1"/>
  <c r="M43" i="1"/>
  <c r="BE11" i="1"/>
  <c r="BA12" i="1"/>
  <c r="AY15" i="1"/>
  <c r="AV16" i="1"/>
  <c r="AU17" i="1"/>
  <c r="AS13" i="1"/>
  <c r="AQ13" i="1"/>
  <c r="AJ34" i="1"/>
  <c r="AH36" i="1"/>
  <c r="AB26" i="1"/>
  <c r="AA26" i="1"/>
  <c r="Z28" i="1"/>
  <c r="Z27" i="1"/>
  <c r="AE9" i="1"/>
  <c r="W22" i="1"/>
  <c r="V23" i="1"/>
  <c r="T6" i="1"/>
  <c r="I31" i="1"/>
  <c r="F20" i="1"/>
  <c r="BF59" i="1"/>
  <c r="BG58" i="1"/>
  <c r="AR58" i="1"/>
  <c r="AQ58" i="1"/>
  <c r="BD57" i="1"/>
  <c r="BE56" i="1"/>
  <c r="BC56" i="1"/>
  <c r="BD55" i="1"/>
  <c r="BB55" i="1"/>
  <c r="BC54" i="1"/>
  <c r="AE54" i="1"/>
  <c r="AZ53" i="1"/>
  <c r="BA52" i="1"/>
  <c r="AY52" i="1"/>
  <c r="AZ51" i="1"/>
  <c r="AX51" i="1"/>
  <c r="AN51" i="1"/>
  <c r="AY50" i="1"/>
  <c r="AW50" i="1"/>
  <c r="AN50" i="1"/>
  <c r="AX49" i="1"/>
  <c r="AV49" i="1"/>
  <c r="AW48" i="1"/>
  <c r="AT47" i="1"/>
  <c r="AU46" i="1"/>
  <c r="AN46" i="1"/>
  <c r="BF44" i="1"/>
  <c r="AQ44" i="1"/>
  <c r="BF43" i="1"/>
  <c r="AR43" i="1"/>
  <c r="AL42" i="1"/>
  <c r="AM41" i="1"/>
  <c r="AY40" i="1"/>
  <c r="AX40" i="1"/>
  <c r="AT40" i="1"/>
  <c r="AM40" i="1"/>
  <c r="X40" i="1"/>
  <c r="AO39" i="1"/>
  <c r="AN39" i="1"/>
  <c r="AL39" i="1"/>
  <c r="AP38" i="1"/>
  <c r="AM38" i="1"/>
  <c r="AK38" i="1"/>
  <c r="AL37" i="1"/>
  <c r="AJ37" i="1"/>
  <c r="AK36" i="1"/>
  <c r="AH35" i="1"/>
  <c r="AI34" i="1"/>
  <c r="AG34" i="1"/>
  <c r="AH33" i="1"/>
  <c r="AF33" i="1"/>
  <c r="AG32" i="1"/>
  <c r="AA32" i="1"/>
  <c r="BB31" i="1"/>
  <c r="AD31" i="1"/>
  <c r="AE30" i="1"/>
  <c r="AC30" i="1"/>
  <c r="AD29" i="1"/>
  <c r="AB29" i="1"/>
  <c r="AC28" i="1"/>
  <c r="AF27" i="1"/>
  <c r="Y26" i="1"/>
  <c r="Z25" i="1"/>
  <c r="X25" i="1"/>
  <c r="AN24" i="1"/>
  <c r="Y24" i="1"/>
  <c r="W24" i="1"/>
  <c r="X23" i="1"/>
  <c r="U22" i="1"/>
  <c r="V21" i="1"/>
  <c r="T21" i="1"/>
  <c r="U20" i="1"/>
  <c r="N19" i="1"/>
  <c r="C19" i="1"/>
  <c r="N18" i="1"/>
  <c r="C18" i="1"/>
  <c r="P17" i="1"/>
  <c r="O17" i="1"/>
  <c r="E17" i="1"/>
  <c r="C17" i="1"/>
  <c r="Q16" i="1"/>
  <c r="O16" i="1"/>
  <c r="Q15" i="1"/>
  <c r="P15" i="1"/>
  <c r="N15" i="1"/>
  <c r="M15" i="1"/>
  <c r="K15" i="1"/>
  <c r="S14" i="1"/>
  <c r="R14" i="1"/>
  <c r="O14" i="1"/>
  <c r="L14" i="1"/>
  <c r="K14" i="1"/>
  <c r="O13" i="1"/>
  <c r="K13" i="1"/>
  <c r="N12" i="1"/>
  <c r="K12" i="1"/>
  <c r="O11" i="1"/>
  <c r="N11" i="1"/>
  <c r="M11" i="1"/>
  <c r="L11" i="1"/>
  <c r="J11" i="1"/>
  <c r="K10" i="1"/>
  <c r="I10" i="1"/>
  <c r="H10" i="1"/>
  <c r="J9" i="1"/>
  <c r="H9" i="1"/>
  <c r="J8" i="1"/>
  <c r="I8" i="1"/>
  <c r="G8" i="1"/>
  <c r="F8" i="1"/>
  <c r="H7" i="1"/>
  <c r="F7" i="1"/>
  <c r="H6" i="1"/>
  <c r="G6" i="1"/>
  <c r="E6" i="1"/>
  <c r="Q5" i="1"/>
  <c r="F5" i="1"/>
  <c r="D5" i="1"/>
  <c r="E4" i="1"/>
  <c r="C4" i="1"/>
  <c r="S3" i="1"/>
  <c r="R3" i="1"/>
  <c r="Q3" i="1"/>
  <c r="D3" i="1"/>
  <c r="A4" i="6" l="1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D1" i="6"/>
  <c r="E1" i="6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A3" i="6"/>
  <c r="C1" i="6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A3" i="5"/>
  <c r="C1" i="5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3" i="2"/>
  <c r="A4" i="4" l="1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AC1" i="4"/>
  <c r="AD1" i="4"/>
  <c r="AE1" i="4"/>
  <c r="AF1" i="4"/>
  <c r="AG1" i="4"/>
  <c r="AH1" i="4"/>
  <c r="AI1" i="4"/>
  <c r="AJ1" i="4"/>
  <c r="AK1" i="4"/>
  <c r="AL1" i="4"/>
  <c r="AM1" i="4"/>
  <c r="AN1" i="4"/>
  <c r="AO1" i="4"/>
  <c r="AP1" i="4"/>
  <c r="AQ1" i="4"/>
  <c r="AR1" i="4"/>
  <c r="AS1" i="4"/>
  <c r="AT1" i="4"/>
  <c r="AU1" i="4"/>
  <c r="AV1" i="4"/>
  <c r="AW1" i="4"/>
  <c r="AX1" i="4"/>
  <c r="AY1" i="4"/>
  <c r="AZ1" i="4"/>
  <c r="BA1" i="4"/>
  <c r="BB1" i="4"/>
  <c r="BC1" i="4"/>
  <c r="BD1" i="4"/>
  <c r="BE1" i="4"/>
  <c r="BF1" i="4"/>
  <c r="A3" i="4"/>
  <c r="C1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3" i="3"/>
  <c r="C1" i="3"/>
  <c r="G4" i="2" l="1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G3" i="2"/>
  <c r="F3" i="2"/>
</calcChain>
</file>

<file path=xl/sharedStrings.xml><?xml version="1.0" encoding="utf-8"?>
<sst xmlns="http://schemas.openxmlformats.org/spreadsheetml/2006/main" count="301" uniqueCount="238">
  <si>
    <t>Line Records</t>
  </si>
  <si>
    <t>From Number</t>
  </si>
  <si>
    <t>To Number</t>
  </si>
  <si>
    <t>R</t>
  </si>
  <si>
    <t>X</t>
  </si>
  <si>
    <t>B</t>
  </si>
  <si>
    <t>Gline</t>
  </si>
  <si>
    <t>Bline</t>
  </si>
  <si>
    <t>Bshunt</t>
  </si>
  <si>
    <t>Connectivity</t>
  </si>
  <si>
    <t>2)</t>
  </si>
  <si>
    <t>Turner)</t>
  </si>
  <si>
    <t>3)</t>
  </si>
  <si>
    <t>Logan)</t>
  </si>
  <si>
    <t>4)</t>
  </si>
  <si>
    <t>Sprigg)</t>
  </si>
  <si>
    <t>5)</t>
  </si>
  <si>
    <t>Bus 5)</t>
  </si>
  <si>
    <t>6)</t>
  </si>
  <si>
    <t>Beaver C)</t>
  </si>
  <si>
    <t>7)</t>
  </si>
  <si>
    <t>Bus 7)</t>
  </si>
  <si>
    <t>8)</t>
  </si>
  <si>
    <t>Clinch R)</t>
  </si>
  <si>
    <t>9)</t>
  </si>
  <si>
    <t>Saltvill)</t>
  </si>
  <si>
    <t>10)</t>
  </si>
  <si>
    <t>Bus 10)</t>
  </si>
  <si>
    <t>11)</t>
  </si>
  <si>
    <t>Tazewell)</t>
  </si>
  <si>
    <t>12)</t>
  </si>
  <si>
    <t>Glen Lyn)</t>
  </si>
  <si>
    <t>13)</t>
  </si>
  <si>
    <t>Bus 13)</t>
  </si>
  <si>
    <t>14)</t>
  </si>
  <si>
    <t>Bus 14)</t>
  </si>
  <si>
    <t>15)</t>
  </si>
  <si>
    <t>Bus 15)</t>
  </si>
  <si>
    <t>16)</t>
  </si>
  <si>
    <t>Bus 16)</t>
  </si>
  <si>
    <t>17)</t>
  </si>
  <si>
    <t>Bus 17)</t>
  </si>
  <si>
    <t>18)</t>
  </si>
  <si>
    <t>19)</t>
  </si>
  <si>
    <t>Bus 19)</t>
  </si>
  <si>
    <t>20)</t>
  </si>
  <si>
    <t>Bus 20)</t>
  </si>
  <si>
    <t>21)</t>
  </si>
  <si>
    <t>Bus 21)</t>
  </si>
  <si>
    <t>22)</t>
  </si>
  <si>
    <t>Bus 22)</t>
  </si>
  <si>
    <t>23)</t>
  </si>
  <si>
    <t>Bus 23)</t>
  </si>
  <si>
    <t>24)</t>
  </si>
  <si>
    <t>Bus 24)</t>
  </si>
  <si>
    <t>25)</t>
  </si>
  <si>
    <t>Bus 25)</t>
  </si>
  <si>
    <t>26)</t>
  </si>
  <si>
    <t>Bus 26)</t>
  </si>
  <si>
    <t>27)</t>
  </si>
  <si>
    <t>Bus 27)</t>
  </si>
  <si>
    <t>28)</t>
  </si>
  <si>
    <t>Bus 28)</t>
  </si>
  <si>
    <t>29)</t>
  </si>
  <si>
    <t>Bus 29)</t>
  </si>
  <si>
    <t>30)</t>
  </si>
  <si>
    <t>Bus 30)</t>
  </si>
  <si>
    <t>31)</t>
  </si>
  <si>
    <t>Bus 31)</t>
  </si>
  <si>
    <t>32)</t>
  </si>
  <si>
    <t>Bus 32)</t>
  </si>
  <si>
    <t>33)</t>
  </si>
  <si>
    <t>Bus 33)</t>
  </si>
  <si>
    <t>34)</t>
  </si>
  <si>
    <t>Bus 34)</t>
  </si>
  <si>
    <t>35)</t>
  </si>
  <si>
    <t>Bus 35)</t>
  </si>
  <si>
    <t>36)</t>
  </si>
  <si>
    <t>Bus 36)</t>
  </si>
  <si>
    <t>37)</t>
  </si>
  <si>
    <t>Bus 37)</t>
  </si>
  <si>
    <t>38)</t>
  </si>
  <si>
    <t>Bus 38)</t>
  </si>
  <si>
    <t>39)</t>
  </si>
  <si>
    <t>Bus 39)</t>
  </si>
  <si>
    <t>40)</t>
  </si>
  <si>
    <t>Bus 40)</t>
  </si>
  <si>
    <t>41)</t>
  </si>
  <si>
    <t>42)</t>
  </si>
  <si>
    <t>Bus 42)</t>
  </si>
  <si>
    <t>43)</t>
  </si>
  <si>
    <t>44)</t>
  </si>
  <si>
    <t>Bus 44)</t>
  </si>
  <si>
    <t>45)</t>
  </si>
  <si>
    <t>Bus 45)</t>
  </si>
  <si>
    <t>46)</t>
  </si>
  <si>
    <t>Bus 46)</t>
  </si>
  <si>
    <t>47)</t>
  </si>
  <si>
    <t>Bus 47)</t>
  </si>
  <si>
    <t>48)</t>
  </si>
  <si>
    <t>Bus 48)</t>
  </si>
  <si>
    <t>49)</t>
  </si>
  <si>
    <t>Bus 49)</t>
  </si>
  <si>
    <t>50)</t>
  </si>
  <si>
    <t>Bus 50)</t>
  </si>
  <si>
    <t>51)</t>
  </si>
  <si>
    <t>Bus 51)</t>
  </si>
  <si>
    <t>52)</t>
  </si>
  <si>
    <t>Bus 52)</t>
  </si>
  <si>
    <t>53)</t>
  </si>
  <si>
    <t>Bus 53)</t>
  </si>
  <si>
    <t>54)</t>
  </si>
  <si>
    <t>Bus 54)</t>
  </si>
  <si>
    <t>55)</t>
  </si>
  <si>
    <t>56)</t>
  </si>
  <si>
    <t>Bus 56)</t>
  </si>
  <si>
    <t>57)</t>
  </si>
  <si>
    <t>Bus 57)</t>
  </si>
  <si>
    <t>YBus Records))</t>
  </si>
  <si>
    <t>))</t>
  </si>
  <si>
    <t>Number))</t>
  </si>
  <si>
    <t>Name))</t>
  </si>
  <si>
    <t>Bus     1))</t>
  </si>
  <si>
    <t>Bus     2))</t>
  </si>
  <si>
    <t>Bus     3))</t>
  </si>
  <si>
    <t>Bus     4))</t>
  </si>
  <si>
    <t>Bus     5))</t>
  </si>
  <si>
    <t>Bus     6))</t>
  </si>
  <si>
    <t>Bus     7))</t>
  </si>
  <si>
    <t>Bus     8))</t>
  </si>
  <si>
    <t>Bus     9))</t>
  </si>
  <si>
    <t>Bus    10))</t>
  </si>
  <si>
    <t>Bus    11))</t>
  </si>
  <si>
    <t>Bus    12))</t>
  </si>
  <si>
    <t>Bus    13))</t>
  </si>
  <si>
    <t>Bus    14))</t>
  </si>
  <si>
    <t>Bus    15))</t>
  </si>
  <si>
    <t>Bus    16))</t>
  </si>
  <si>
    <t>Bus    17))</t>
  </si>
  <si>
    <t>Bus    18))</t>
  </si>
  <si>
    <t>Bus    19))</t>
  </si>
  <si>
    <t>Bus    20))</t>
  </si>
  <si>
    <t>Bus    21))</t>
  </si>
  <si>
    <t>Bus    22))</t>
  </si>
  <si>
    <t>Bus    23))</t>
  </si>
  <si>
    <t>Bus    24))</t>
  </si>
  <si>
    <t>Bus    25))</t>
  </si>
  <si>
    <t>Bus    26))</t>
  </si>
  <si>
    <t>Bus    27))</t>
  </si>
  <si>
    <t>Bus    28))</t>
  </si>
  <si>
    <t>Bus    29))</t>
  </si>
  <si>
    <t>Bus    30))</t>
  </si>
  <si>
    <t>Bus    31))</t>
  </si>
  <si>
    <t>Bus    32))</t>
  </si>
  <si>
    <t>Bus    33))</t>
  </si>
  <si>
    <t>Bus    34))</t>
  </si>
  <si>
    <t>Bus    35))</t>
  </si>
  <si>
    <t>Bus    36))</t>
  </si>
  <si>
    <t>Bus    37))</t>
  </si>
  <si>
    <t>Bus    38))</t>
  </si>
  <si>
    <t>Bus    39))</t>
  </si>
  <si>
    <t>Bus    40))</t>
  </si>
  <si>
    <t>Bus    41))</t>
  </si>
  <si>
    <t>Bus    42))</t>
  </si>
  <si>
    <t>Bus    43))</t>
  </si>
  <si>
    <t>Bus    44))</t>
  </si>
  <si>
    <t>Bus    45))</t>
  </si>
  <si>
    <t>Bus    46))</t>
  </si>
  <si>
    <t>Bus    47))</t>
  </si>
  <si>
    <t>Bus    48))</t>
  </si>
  <si>
    <t>Bus    49))</t>
  </si>
  <si>
    <t>Bus    50))</t>
  </si>
  <si>
    <t>Bus    51))</t>
  </si>
  <si>
    <t>Bus    52))</t>
  </si>
  <si>
    <t>Bus    53))</t>
  </si>
  <si>
    <t>Bus    54))</t>
  </si>
  <si>
    <t>Bus    55))</t>
  </si>
  <si>
    <t>Bus    56))</t>
  </si>
  <si>
    <t>Bus    57))</t>
  </si>
  <si>
    <t>1))</t>
  </si>
  <si>
    <t>Kanawha))</t>
  </si>
  <si>
    <t>14.77 - 56.72i</t>
  </si>
  <si>
    <t>13.40 - 43.20i</t>
  </si>
  <si>
    <t>16.59 - 52.63i</t>
  </si>
  <si>
    <t>12.39 - 41.70i</t>
  </si>
  <si>
    <t>8.95 - 18.94i</t>
  </si>
  <si>
    <t>10.77 - 33.94i</t>
  </si>
  <si>
    <t>4.49 - 39.45i</t>
  </si>
  <si>
    <t>7.47 - 38.10i</t>
  </si>
  <si>
    <t>10.74 - 53.84i</t>
  </si>
  <si>
    <t>2.91 - 29.44i</t>
  </si>
  <si>
    <t>7.09 - 31.86i</t>
  </si>
  <si>
    <t>10.98 - 43.48i</t>
  </si>
  <si>
    <t>20.07 - 72.10i</t>
  </si>
  <si>
    <t>11.62 - 54.53i</t>
  </si>
  <si>
    <t>15.80 - 65.42i</t>
  </si>
  <si>
    <t>3.62 - 16.32i</t>
  </si>
  <si>
    <t>3.13 - 14.12i</t>
  </si>
  <si>
    <t>0.68 - 5.03i</t>
  </si>
  <si>
    <t>1.73 - 2.62i</t>
  </si>
  <si>
    <t>1.05 - 2.90i</t>
  </si>
  <si>
    <t>3.85 - 7.31i</t>
  </si>
  <si>
    <t>49.44 - 76.13i</t>
  </si>
  <si>
    <t>31.87 - 48.94i</t>
  </si>
  <si>
    <t>1.78 - 23.84i</t>
  </si>
  <si>
    <t>2.29 - 5.02i</t>
  </si>
  <si>
    <t>1.80 - 23.91i</t>
  </si>
  <si>
    <t>6.58 - 10.15i</t>
  </si>
  <si>
    <t>12.83 - 18.69i</t>
  </si>
  <si>
    <t>10.64 - 30.09i</t>
  </si>
  <si>
    <t>3.21 - 4.83i</t>
  </si>
  <si>
    <t>1.54 - 2.32i</t>
  </si>
  <si>
    <t>14.45 - 14.67i</t>
  </si>
  <si>
    <t>13.84 - 12.71i</t>
  </si>
  <si>
    <t>5.92 - 9.98i</t>
  </si>
  <si>
    <t>15.00 - 20.22i</t>
  </si>
  <si>
    <t>32.15 - 43.30i</t>
  </si>
  <si>
    <t>29.72 - 42.66i</t>
  </si>
  <si>
    <t>38.85 - 63.14i</t>
  </si>
  <si>
    <t>11.90 - 19.65i</t>
  </si>
  <si>
    <t>9.77 - 16.08i</t>
  </si>
  <si>
    <t>2.15 - 6.78i</t>
  </si>
  <si>
    <t>2.49 - 4.19i</t>
  </si>
  <si>
    <t>0.00 - 8.96i</t>
  </si>
  <si>
    <t>10.02 - 20.17i</t>
  </si>
  <si>
    <t>3.23 - 16.02i</t>
  </si>
  <si>
    <t>4.46 - 26.80i</t>
  </si>
  <si>
    <t>25.28 - 39.85i</t>
  </si>
  <si>
    <t>33.82 - 46.74i</t>
  </si>
  <si>
    <t>9.63 - 20.29i</t>
  </si>
  <si>
    <t>5.56 - 8.87i</t>
  </si>
  <si>
    <t>2.05 - 17.30i</t>
  </si>
  <si>
    <t>7.51 - 9.71i</t>
  </si>
  <si>
    <t>7.03 - 8.89i</t>
  </si>
  <si>
    <t>4.24 - 5.39i</t>
  </si>
  <si>
    <t>2.13 - 11.08i</t>
  </si>
  <si>
    <t>3.94 - 6.47i</t>
  </si>
  <si>
    <t>1.78 - 3.39i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</si>
</sst>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G59"/>
  <sheetViews>
    <sheetView tabSelected="1" workbookViewId="0">
      <selection activeCell="BH60" sqref="BH60"/>
    </sheetView>
  </sheetViews>
  <sheetFormatPr defaultRowHeight="15" x14ac:dyDescent="0.25"/>
  <sheetData>
    <row r="1" spans="1:59" x14ac:dyDescent="0.25">
      <c r="A1" t="s">
        <v>118</v>
      </c>
      <c r="B1" t="s">
        <v>119</v>
      </c>
      <c r="C1" t="s">
        <v>119</v>
      </c>
      <c r="D1" t="s">
        <v>119</v>
      </c>
      <c r="E1" t="s">
        <v>119</v>
      </c>
      <c r="F1" t="s">
        <v>119</v>
      </c>
      <c r="G1" t="s">
        <v>119</v>
      </c>
      <c r="H1" t="s">
        <v>119</v>
      </c>
      <c r="I1" t="s">
        <v>119</v>
      </c>
      <c r="J1" t="s">
        <v>119</v>
      </c>
      <c r="K1" t="s">
        <v>119</v>
      </c>
      <c r="L1" t="s">
        <v>119</v>
      </c>
      <c r="M1" t="s">
        <v>119</v>
      </c>
      <c r="N1" t="s">
        <v>119</v>
      </c>
      <c r="O1" t="s">
        <v>119</v>
      </c>
      <c r="P1" t="s">
        <v>119</v>
      </c>
      <c r="Q1" t="s">
        <v>119</v>
      </c>
      <c r="R1" t="s">
        <v>119</v>
      </c>
      <c r="S1" t="s">
        <v>119</v>
      </c>
      <c r="T1" t="s">
        <v>119</v>
      </c>
      <c r="U1" t="s">
        <v>119</v>
      </c>
      <c r="V1" t="s">
        <v>119</v>
      </c>
      <c r="W1" t="s">
        <v>119</v>
      </c>
      <c r="X1" t="s">
        <v>119</v>
      </c>
      <c r="Y1" t="s">
        <v>119</v>
      </c>
      <c r="Z1" t="s">
        <v>119</v>
      </c>
      <c r="AA1" t="s">
        <v>119</v>
      </c>
      <c r="AB1" t="s">
        <v>119</v>
      </c>
      <c r="AC1" t="s">
        <v>119</v>
      </c>
      <c r="AD1" t="s">
        <v>119</v>
      </c>
      <c r="AE1" t="s">
        <v>119</v>
      </c>
      <c r="AF1" t="s">
        <v>119</v>
      </c>
      <c r="AG1" t="s">
        <v>119</v>
      </c>
      <c r="AH1" t="s">
        <v>119</v>
      </c>
      <c r="AI1" t="s">
        <v>119</v>
      </c>
      <c r="AJ1" t="s">
        <v>119</v>
      </c>
      <c r="AK1" t="s">
        <v>119</v>
      </c>
      <c r="AL1" t="s">
        <v>119</v>
      </c>
      <c r="AM1" t="s">
        <v>119</v>
      </c>
      <c r="AN1" t="s">
        <v>119</v>
      </c>
      <c r="AO1" t="s">
        <v>119</v>
      </c>
      <c r="AP1" t="s">
        <v>119</v>
      </c>
      <c r="AQ1" t="s">
        <v>119</v>
      </c>
      <c r="AR1" t="s">
        <v>119</v>
      </c>
      <c r="AS1" t="s">
        <v>119</v>
      </c>
      <c r="AT1" t="s">
        <v>119</v>
      </c>
      <c r="AU1" t="s">
        <v>119</v>
      </c>
      <c r="AV1" t="s">
        <v>119</v>
      </c>
      <c r="AW1" t="s">
        <v>119</v>
      </c>
      <c r="AX1" t="s">
        <v>119</v>
      </c>
      <c r="AY1" t="s">
        <v>119</v>
      </c>
      <c r="AZ1" t="s">
        <v>119</v>
      </c>
      <c r="BA1" t="s">
        <v>119</v>
      </c>
      <c r="BB1" t="s">
        <v>119</v>
      </c>
      <c r="BC1" t="s">
        <v>119</v>
      </c>
      <c r="BD1" t="s">
        <v>119</v>
      </c>
      <c r="BE1" t="s">
        <v>119</v>
      </c>
      <c r="BF1" t="s">
        <v>119</v>
      </c>
      <c r="BG1" t="s">
        <v>119</v>
      </c>
    </row>
    <row r="2" spans="1:59" x14ac:dyDescent="0.25">
      <c r="A2" t="s">
        <v>120</v>
      </c>
      <c r="B2" t="s">
        <v>121</v>
      </c>
      <c r="C2" t="s">
        <v>122</v>
      </c>
      <c r="D2" t="s">
        <v>123</v>
      </c>
      <c r="E2" t="s">
        <v>124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133</v>
      </c>
      <c r="O2" t="s">
        <v>134</v>
      </c>
      <c r="P2" t="s">
        <v>135</v>
      </c>
      <c r="Q2" t="s">
        <v>136</v>
      </c>
      <c r="R2" t="s">
        <v>137</v>
      </c>
      <c r="S2" t="s">
        <v>138</v>
      </c>
      <c r="T2" t="s">
        <v>139</v>
      </c>
      <c r="U2" t="s">
        <v>140</v>
      </c>
      <c r="V2" t="s">
        <v>141</v>
      </c>
      <c r="W2" t="s">
        <v>142</v>
      </c>
      <c r="X2" t="s">
        <v>143</v>
      </c>
      <c r="Y2" t="s">
        <v>144</v>
      </c>
      <c r="Z2" t="s">
        <v>145</v>
      </c>
      <c r="AA2" t="s">
        <v>146</v>
      </c>
      <c r="AB2" t="s">
        <v>147</v>
      </c>
      <c r="AC2" t="s">
        <v>148</v>
      </c>
      <c r="AD2" t="s">
        <v>149</v>
      </c>
      <c r="AE2" t="s">
        <v>150</v>
      </c>
      <c r="AF2" t="s">
        <v>151</v>
      </c>
      <c r="AG2" t="s">
        <v>152</v>
      </c>
      <c r="AH2" t="s">
        <v>153</v>
      </c>
      <c r="AI2" t="s">
        <v>154</v>
      </c>
      <c r="AJ2" t="s">
        <v>155</v>
      </c>
      <c r="AK2" t="s">
        <v>156</v>
      </c>
      <c r="AL2" t="s">
        <v>157</v>
      </c>
      <c r="AM2" t="s">
        <v>158</v>
      </c>
      <c r="AN2" t="s">
        <v>159</v>
      </c>
      <c r="AO2" t="s">
        <v>160</v>
      </c>
      <c r="AP2" t="s">
        <v>161</v>
      </c>
      <c r="AQ2" t="s">
        <v>162</v>
      </c>
      <c r="AR2" t="s">
        <v>163</v>
      </c>
      <c r="AS2" t="s">
        <v>164</v>
      </c>
      <c r="AT2" t="s">
        <v>165</v>
      </c>
      <c r="AU2" t="s">
        <v>166</v>
      </c>
      <c r="AV2" t="s">
        <v>167</v>
      </c>
      <c r="AW2" t="s">
        <v>168</v>
      </c>
      <c r="AX2" t="s">
        <v>169</v>
      </c>
      <c r="AY2" t="s">
        <v>170</v>
      </c>
      <c r="AZ2" t="s">
        <v>171</v>
      </c>
      <c r="BA2" t="s">
        <v>172</v>
      </c>
      <c r="BB2" t="s">
        <v>173</v>
      </c>
      <c r="BC2" t="s">
        <v>174</v>
      </c>
      <c r="BD2" t="s">
        <v>175</v>
      </c>
      <c r="BE2" t="s">
        <v>176</v>
      </c>
      <c r="BF2" t="s">
        <v>177</v>
      </c>
      <c r="BG2" t="s">
        <v>178</v>
      </c>
    </row>
    <row r="3" spans="1:59" x14ac:dyDescent="0.25">
      <c r="A3" t="s">
        <v>179</v>
      </c>
      <c r="B3" t="s">
        <v>180</v>
      </c>
      <c r="C3" t="s">
        <v>181</v>
      </c>
      <c r="D3" t="str">
        <f>COMPLEX(-9.73, 32.83)</f>
        <v>-9.73+32.83i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t="str">
        <f>COMPLEX(-2.07, 10.58)</f>
        <v>-2.07+10.58i</v>
      </c>
      <c r="R3" t="str">
        <f>COMPLEX(-1.02, 4.63)</f>
        <v>-1.02+4.63i</v>
      </c>
      <c r="S3" t="str">
        <f>COMPLEX(-1.95, 8.83)</f>
        <v>-1.95+8.83i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</row>
    <row r="4" spans="1:59" x14ac:dyDescent="0.25">
      <c r="A4" t="s">
        <v>10</v>
      </c>
      <c r="B4" t="s">
        <v>11</v>
      </c>
      <c r="C4" t="str">
        <f>COMPLEX(-9.73, 32.83)</f>
        <v>-9.73+32.83i</v>
      </c>
      <c r="D4" t="s">
        <v>182</v>
      </c>
      <c r="E4" t="str">
        <f>COMPLEX(-3.67, 10.48)</f>
        <v>-3.67+10.48i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</row>
    <row r="5" spans="1:59" x14ac:dyDescent="0.25">
      <c r="A5" t="s">
        <v>12</v>
      </c>
      <c r="B5" t="s">
        <v>13</v>
      </c>
      <c r="C5">
        <v>0</v>
      </c>
      <c r="D5" t="str">
        <f>COMPLEX(-3.67, 10.48)</f>
        <v>-3.67+10.48i</v>
      </c>
      <c r="E5" t="s">
        <v>183</v>
      </c>
      <c r="F5" t="str">
        <f>COMPLEX(-7.65, 24.98)</f>
        <v>-7.65+24.98i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t="str">
        <f>COMPLEX(-5.27, 17.26)</f>
        <v>-5.27+17.26i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</row>
    <row r="6" spans="1:59" x14ac:dyDescent="0.25">
      <c r="A6" t="s">
        <v>14</v>
      </c>
      <c r="B6" t="s">
        <v>15</v>
      </c>
      <c r="C6">
        <v>0</v>
      </c>
      <c r="D6">
        <v>0</v>
      </c>
      <c r="E6" t="str">
        <f>COMPLEX(-7.65, 24.98)</f>
        <v>-7.65+24.98i</v>
      </c>
      <c r="F6" t="s">
        <v>184</v>
      </c>
      <c r="G6" t="str">
        <f>COMPLEX(-2.93, 6.19)</f>
        <v>-2.93+6.19i</v>
      </c>
      <c r="H6" t="str">
        <f>COMPLEX(-1.81, 6.23)</f>
        <v>-1.81+6.23i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 t="str">
        <f>COMPLEX(0,4.24)</f>
        <v>4.24i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</row>
    <row r="7" spans="1:59" x14ac:dyDescent="0.25">
      <c r="A7" t="s">
        <v>16</v>
      </c>
      <c r="B7" t="s">
        <v>17</v>
      </c>
      <c r="C7">
        <v>0</v>
      </c>
      <c r="D7">
        <v>0</v>
      </c>
      <c r="E7">
        <v>0</v>
      </c>
      <c r="F7" t="str">
        <f>COMPLEX(-2.93, 6.19)</f>
        <v>-2.93+6.19i</v>
      </c>
      <c r="G7" t="s">
        <v>185</v>
      </c>
      <c r="H7" t="str">
        <f>COMPLEX(-6.01, 12.77)</f>
        <v>-6.01+12.77i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</row>
    <row r="8" spans="1:59" x14ac:dyDescent="0.25">
      <c r="A8" t="s">
        <v>18</v>
      </c>
      <c r="B8" t="s">
        <v>19</v>
      </c>
      <c r="C8">
        <v>0</v>
      </c>
      <c r="D8">
        <v>0</v>
      </c>
      <c r="E8">
        <v>0</v>
      </c>
      <c r="F8" t="str">
        <f>COMPLEX(-1.81, 6.23)</f>
        <v>-1.81+6.23i</v>
      </c>
      <c r="G8" t="str">
        <f>COMPLEX(-6.01, 12.77)</f>
        <v>-6.01+12.77i</v>
      </c>
      <c r="H8" t="s">
        <v>186</v>
      </c>
      <c r="I8" t="str">
        <f>COMPLEX(-1.85, 9.44)</f>
        <v>-1.85+9.44i</v>
      </c>
      <c r="J8" t="str">
        <f>COMPLEX(-1.09, 5.57)</f>
        <v>-1.09+5.57i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</row>
    <row r="9" spans="1:59" x14ac:dyDescent="0.25">
      <c r="A9" t="s">
        <v>20</v>
      </c>
      <c r="B9" t="s">
        <v>21</v>
      </c>
      <c r="C9">
        <v>0</v>
      </c>
      <c r="D9">
        <v>0</v>
      </c>
      <c r="E9">
        <v>0</v>
      </c>
      <c r="F9">
        <v>0</v>
      </c>
      <c r="G9">
        <v>0</v>
      </c>
      <c r="H9" t="str">
        <f>COMPLEX(-1.85, 9.44)</f>
        <v>-1.85+9.44i</v>
      </c>
      <c r="I9" t="s">
        <v>187</v>
      </c>
      <c r="J9" t="str">
        <f>COMPLEX(-2.64, 13.53)</f>
        <v>-2.64+13.53i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 t="str">
        <f>COMPLEX(0,15.96)</f>
        <v>15.96i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</row>
    <row r="10" spans="1:59" x14ac:dyDescent="0.25">
      <c r="A10" t="s">
        <v>22</v>
      </c>
      <c r="B10" t="s">
        <v>23</v>
      </c>
      <c r="C10">
        <v>0</v>
      </c>
      <c r="D10">
        <v>0</v>
      </c>
      <c r="E10">
        <v>0</v>
      </c>
      <c r="F10">
        <v>0</v>
      </c>
      <c r="G10">
        <v>0</v>
      </c>
      <c r="H10" t="str">
        <f>COMPLEX(-1.09, 5.57)</f>
        <v>-1.09+5.57i</v>
      </c>
      <c r="I10" t="str">
        <f>COMPLEX(-2.64, 13.53)</f>
        <v>-2.64+13.53i</v>
      </c>
      <c r="J10" t="s">
        <v>188</v>
      </c>
      <c r="K10" t="str">
        <f>COMPLEX(-3.74, 19.07)</f>
        <v>-3.74+19.07i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</row>
    <row r="11" spans="1:59" x14ac:dyDescent="0.25">
      <c r="A11" t="s">
        <v>24</v>
      </c>
      <c r="B11" t="s">
        <v>25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 t="str">
        <f>COMPLEX(-3.74, 19.07)</f>
        <v>-3.74+19.07i</v>
      </c>
      <c r="K11" t="s">
        <v>189</v>
      </c>
      <c r="L11" t="str">
        <f>COMPLEX(-1.25, 5.68)</f>
        <v>-1.25+5.68i</v>
      </c>
      <c r="M11" t="str">
        <f>COMPLEX(-3.28, 10.79)</f>
        <v>-3.28+10.79i</v>
      </c>
      <c r="N11" t="str">
        <f>COMPLEX(-0.71, 3.23)</f>
        <v>-0.71+3.23i</v>
      </c>
      <c r="O11" t="str">
        <f>COMPLEX(-1.76, 5.79)</f>
        <v>-1.76+5.79i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 t="str">
        <f>COMPLEX(0,8.83)</f>
        <v>8.83i</v>
      </c>
      <c r="BF11">
        <v>0</v>
      </c>
      <c r="BG11">
        <v>0</v>
      </c>
    </row>
    <row r="12" spans="1:59" x14ac:dyDescent="0.25">
      <c r="A12" t="s">
        <v>26</v>
      </c>
      <c r="B12" t="s">
        <v>27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 t="str">
        <f>COMPLEX(-1.25, 5.68)</f>
        <v>-1.25+5.68i</v>
      </c>
      <c r="L12" t="s">
        <v>190</v>
      </c>
      <c r="M12">
        <v>0</v>
      </c>
      <c r="N12" t="str">
        <f>COMPLEX(-1.66, 7.56)</f>
        <v>-1.66+7.56i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 t="str">
        <f>COMPLEX(0,15.1)</f>
        <v>15.1i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</row>
    <row r="13" spans="1:59" x14ac:dyDescent="0.25">
      <c r="A13" t="s">
        <v>28</v>
      </c>
      <c r="B13" t="s">
        <v>29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 t="str">
        <f>COMPLEX(-3.28, 10.79)</f>
        <v>-3.28+10.79i</v>
      </c>
      <c r="L13">
        <v>0</v>
      </c>
      <c r="M13" t="s">
        <v>191</v>
      </c>
      <c r="N13">
        <v>0</v>
      </c>
      <c r="O13" t="str">
        <f>COMPLEX(-3.81, 12.5)</f>
        <v>-3.81+12.5i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 t="str">
        <f>COMPLEX(0,1.4)</f>
        <v>1.4i</v>
      </c>
      <c r="AR13">
        <v>0</v>
      </c>
      <c r="AS13" t="str">
        <f>COMPLEX(0,6.82)</f>
        <v>6.82i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</row>
    <row r="14" spans="1:59" x14ac:dyDescent="0.25">
      <c r="A14" t="s">
        <v>30</v>
      </c>
      <c r="B14" t="s">
        <v>31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 t="str">
        <f>COMPLEX(-0.71, 3.23)</f>
        <v>-0.71+3.23i</v>
      </c>
      <c r="L14" t="str">
        <f>COMPLEX(-1.66, 7.56)</f>
        <v>-1.66+7.56i</v>
      </c>
      <c r="M14">
        <v>0</v>
      </c>
      <c r="N14" t="s">
        <v>192</v>
      </c>
      <c r="O14" t="str">
        <f>COMPLEX(-4.84, 15.76)</f>
        <v>-4.84+15.76i</v>
      </c>
      <c r="P14">
        <v>0</v>
      </c>
      <c r="Q14">
        <v>0</v>
      </c>
      <c r="R14" t="str">
        <f>COMPLEX(-2.6, 11.73)</f>
        <v>-2.6+11.73i</v>
      </c>
      <c r="S14" t="str">
        <f>COMPLEX(-1.18, 5.32)</f>
        <v>-1.18+5.32i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</row>
    <row r="15" spans="1:59" x14ac:dyDescent="0.25">
      <c r="A15" t="s">
        <v>32</v>
      </c>
      <c r="B15" t="s">
        <v>33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tr">
        <f>COMPLEX(-1.76, 5.79)</f>
        <v>-1.76+5.79i</v>
      </c>
      <c r="L15">
        <v>0</v>
      </c>
      <c r="M15" t="str">
        <f>COMPLEX(-3.81, 12.5)</f>
        <v>-3.81+12.5i</v>
      </c>
      <c r="N15" t="str">
        <f>COMPLEX(-4.84, 15.76)</f>
        <v>-4.84+15.76i</v>
      </c>
      <c r="O15" t="s">
        <v>193</v>
      </c>
      <c r="P15" t="str">
        <f>COMPLEX(-6.41, 21.09)</f>
        <v>-6.41+21.09i</v>
      </c>
      <c r="Q15" t="str">
        <f>COMPLEX(-3.25, 10.5)</f>
        <v>-3.25+10.5i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 t="str">
        <f>COMPLEX(0,5.85)</f>
        <v>5.85i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</row>
    <row r="16" spans="1:59" x14ac:dyDescent="0.25">
      <c r="A16" t="s">
        <v>34</v>
      </c>
      <c r="B16" t="s">
        <v>35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t="str">
        <f>COMPLEX(-6.41, 21.09)</f>
        <v>-6.41+21.09i</v>
      </c>
      <c r="P16" t="s">
        <v>194</v>
      </c>
      <c r="Q16" t="str">
        <f>COMPLEX(-5.21, 16.65)</f>
        <v>-5.21+16.65i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>COMPLEX(0,15.12)</f>
        <v>15.12i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</row>
    <row r="17" spans="1:59" x14ac:dyDescent="0.25">
      <c r="A17" t="s">
        <v>36</v>
      </c>
      <c r="B17" t="s">
        <v>37</v>
      </c>
      <c r="C17" t="str">
        <f>COMPLEX(-2.07, 10.58)</f>
        <v>-2.07+10.58i</v>
      </c>
      <c r="D17">
        <v>0</v>
      </c>
      <c r="E17" t="str">
        <f>COMPLEX(-5.27, 17.26)</f>
        <v>-5.27+17.26i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t="str">
        <f>COMPLEX(-3.25, 10.5)</f>
        <v>-3.25+10.5i</v>
      </c>
      <c r="P17" t="str">
        <f>COMPLEX(-5.21, 16.65)</f>
        <v>-5.21+16.65i</v>
      </c>
      <c r="Q17" t="s">
        <v>195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 t="str">
        <f>COMPLEX(0,10.05)</f>
        <v>10.05i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</row>
    <row r="18" spans="1:59" x14ac:dyDescent="0.25">
      <c r="A18" t="s">
        <v>38</v>
      </c>
      <c r="B18" t="s">
        <v>39</v>
      </c>
      <c r="C18" t="str">
        <f>COMPLEX(-1.02, 4.63)</f>
        <v>-1.02+4.63i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 t="str">
        <f>COMPLEX(-2.6, 11.73)</f>
        <v>-2.6+11.73i</v>
      </c>
      <c r="O18">
        <v>0</v>
      </c>
      <c r="P18">
        <v>0</v>
      </c>
      <c r="Q18">
        <v>0</v>
      </c>
      <c r="R18" t="s">
        <v>196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</row>
    <row r="19" spans="1:59" x14ac:dyDescent="0.25">
      <c r="A19" t="s">
        <v>40</v>
      </c>
      <c r="B19" t="s">
        <v>41</v>
      </c>
      <c r="C19" t="str">
        <f>COMPLEX(-1.95, 8.83)</f>
        <v>-1.95+8.83i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 t="str">
        <f>COMPLEX(-1.18, 5.32)</f>
        <v>-1.18+5.32i</v>
      </c>
      <c r="O19">
        <v>0</v>
      </c>
      <c r="P19">
        <v>0</v>
      </c>
      <c r="Q19">
        <v>0</v>
      </c>
      <c r="R19">
        <v>0</v>
      </c>
      <c r="S19" t="s">
        <v>197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</row>
    <row r="20" spans="1:59" x14ac:dyDescent="0.25">
      <c r="A20" t="s">
        <v>42</v>
      </c>
      <c r="B20" t="s">
        <v>15</v>
      </c>
      <c r="C20">
        <v>0</v>
      </c>
      <c r="D20">
        <v>0</v>
      </c>
      <c r="E20">
        <v>0</v>
      </c>
      <c r="F20" t="str">
        <f>COMPLEX(0,4.24)</f>
        <v>4.24i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 t="s">
        <v>198</v>
      </c>
      <c r="U20" t="str">
        <f>COMPLEX(-0.68, 1)</f>
        <v>-0.68+i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</row>
    <row r="21" spans="1:59" x14ac:dyDescent="0.25">
      <c r="A21" t="s">
        <v>43</v>
      </c>
      <c r="B21" t="s">
        <v>44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 t="str">
        <f>COMPLEX(-0.68, 1)</f>
        <v>-0.68+i</v>
      </c>
      <c r="U21" t="s">
        <v>199</v>
      </c>
      <c r="V21" t="str">
        <f>COMPLEX(-1.05, 1.62)</f>
        <v>-1.05+1.62i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</row>
    <row r="22" spans="1:59" x14ac:dyDescent="0.25">
      <c r="A22" t="s">
        <v>45</v>
      </c>
      <c r="B22" t="s">
        <v>46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 t="str">
        <f>COMPLEX(-1.05, 1.62)</f>
        <v>-1.05+1.62i</v>
      </c>
      <c r="V22" t="s">
        <v>200</v>
      </c>
      <c r="W22" t="str">
        <f>COMPLEX(0,1.23)</f>
        <v>1.23i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</row>
    <row r="23" spans="1:59" x14ac:dyDescent="0.25">
      <c r="A23" t="s">
        <v>47</v>
      </c>
      <c r="B23" t="s">
        <v>48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 t="str">
        <f>COMPLEX(0,1.23)</f>
        <v>1.23i</v>
      </c>
      <c r="W23" t="s">
        <v>201</v>
      </c>
      <c r="X23" t="str">
        <f>COMPLEX(-3.85, 6.12)</f>
        <v>-3.85+6.12i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</row>
    <row r="24" spans="1:59" x14ac:dyDescent="0.25">
      <c r="A24" t="s">
        <v>49</v>
      </c>
      <c r="B24" t="s">
        <v>50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 t="str">
        <f>COMPLEX(-3.85, 6.12)</f>
        <v>-3.85+6.12i</v>
      </c>
      <c r="X24" t="s">
        <v>202</v>
      </c>
      <c r="Y24" t="str">
        <f>COMPLEX(-30.09, 46.19)</f>
        <v>-30.09+46.19i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 t="str">
        <f>COMPLEX(-15.5, 23.81)</f>
        <v>-15.5+23.81i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</row>
    <row r="25" spans="1:59" x14ac:dyDescent="0.25">
      <c r="A25" t="s">
        <v>51</v>
      </c>
      <c r="B25" t="s">
        <v>52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 t="str">
        <f>COMPLEX(-30.09, 46.19)</f>
        <v>-30.09+46.19i</v>
      </c>
      <c r="Y25" t="s">
        <v>203</v>
      </c>
      <c r="Z25" t="str">
        <f>COMPLEX(-1.78, 2.75)</f>
        <v>-1.78+2.75i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</row>
    <row r="26" spans="1:59" x14ac:dyDescent="0.25">
      <c r="A26" t="s">
        <v>53</v>
      </c>
      <c r="B26" t="s">
        <v>54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 t="str">
        <f>COMPLEX(-1.78, 2.75)</f>
        <v>-1.78+2.75i</v>
      </c>
      <c r="Z26" t="s">
        <v>204</v>
      </c>
      <c r="AA26" t="str">
        <f>COMPLEX(0,1.66)</f>
        <v>1.66i</v>
      </c>
      <c r="AB26" t="str">
        <f>COMPLEX(0,20.27)</f>
        <v>20.27i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</row>
    <row r="27" spans="1:59" x14ac:dyDescent="0.25">
      <c r="A27" t="s">
        <v>55</v>
      </c>
      <c r="B27" t="s">
        <v>56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 t="str">
        <f>COMPLEX(0,1.66)</f>
        <v>1.66i</v>
      </c>
      <c r="AA27" t="s">
        <v>205</v>
      </c>
      <c r="AB27">
        <v>0</v>
      </c>
      <c r="AC27">
        <v>0</v>
      </c>
      <c r="AD27">
        <v>0</v>
      </c>
      <c r="AE27">
        <v>0</v>
      </c>
      <c r="AF27" t="str">
        <f>COMPLEX(-2.29, 3.42)</f>
        <v>-2.29+3.42i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</row>
    <row r="28" spans="1:59" x14ac:dyDescent="0.25">
      <c r="A28" t="s">
        <v>57</v>
      </c>
      <c r="B28" t="s">
        <v>58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 t="str">
        <f>COMPLEX(0,20.27)</f>
        <v>20.27i</v>
      </c>
      <c r="AA28">
        <v>0</v>
      </c>
      <c r="AB28" t="s">
        <v>206</v>
      </c>
      <c r="AC28" t="str">
        <f>COMPLEX(-1.8, 2.77)</f>
        <v>-1.8+2.77i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</row>
    <row r="29" spans="1:59" x14ac:dyDescent="0.25">
      <c r="A29" t="s">
        <v>59</v>
      </c>
      <c r="B29" t="s">
        <v>60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 t="str">
        <f>COMPLEX(-1.8, 2.77)</f>
        <v>-1.8+2.77i</v>
      </c>
      <c r="AC29" t="s">
        <v>207</v>
      </c>
      <c r="AD29" t="str">
        <f>COMPLEX(-4.78, 7.38)</f>
        <v>-4.78+7.38i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</row>
    <row r="30" spans="1:59" x14ac:dyDescent="0.25">
      <c r="A30" t="s">
        <v>61</v>
      </c>
      <c r="B30" t="s">
        <v>62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 t="str">
        <f>COMPLEX(-4.78, 7.38)</f>
        <v>-4.78+7.38i</v>
      </c>
      <c r="AD30" t="s">
        <v>208</v>
      </c>
      <c r="AE30" t="str">
        <f>COMPLEX(-8.05, 11.3)</f>
        <v>-8.05+11.3i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</row>
    <row r="31" spans="1:59" x14ac:dyDescent="0.25">
      <c r="A31" t="s">
        <v>63</v>
      </c>
      <c r="B31" t="s">
        <v>64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 t="str">
        <f>COMPLEX(0,15.96)</f>
        <v>15.96i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 t="str">
        <f>COMPLEX(-8.05, 11.3)</f>
        <v>-8.05+11.3i</v>
      </c>
      <c r="AE31" t="s">
        <v>209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 t="str">
        <f>COMPLEX(-2.59, 3.35)</f>
        <v>-2.59+3.35i</v>
      </c>
      <c r="BC31">
        <v>0</v>
      </c>
      <c r="BD31">
        <v>0</v>
      </c>
      <c r="BE31">
        <v>0</v>
      </c>
      <c r="BF31">
        <v>0</v>
      </c>
      <c r="BG31">
        <v>0</v>
      </c>
    </row>
    <row r="32" spans="1:59" x14ac:dyDescent="0.25">
      <c r="A32" t="s">
        <v>65</v>
      </c>
      <c r="B32" t="s">
        <v>66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 t="str">
        <f>COMPLEX(-2.29, 3.42)</f>
        <v>-2.29+3.42i</v>
      </c>
      <c r="AB32">
        <v>0</v>
      </c>
      <c r="AC32">
        <v>0</v>
      </c>
      <c r="AD32">
        <v>0</v>
      </c>
      <c r="AE32">
        <v>0</v>
      </c>
      <c r="AF32" t="s">
        <v>210</v>
      </c>
      <c r="AG32" t="str">
        <f>COMPLEX(-0.92, 1.41)</f>
        <v>-0.92+1.41i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</row>
    <row r="33" spans="1:59" x14ac:dyDescent="0.25">
      <c r="A33" t="s">
        <v>67</v>
      </c>
      <c r="B33" t="s">
        <v>68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 t="str">
        <f>COMPLEX(-0.92, 1.41)</f>
        <v>-0.92+1.41i</v>
      </c>
      <c r="AG33" t="s">
        <v>211</v>
      </c>
      <c r="AH33" t="str">
        <f>COMPLEX(-0.61, 0.91)</f>
        <v>-0.61+0.91i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</row>
    <row r="34" spans="1:59" x14ac:dyDescent="0.25">
      <c r="A34" t="s">
        <v>69</v>
      </c>
      <c r="B34" t="s">
        <v>70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 t="str">
        <f>COMPLEX(-0.61, 0.91)</f>
        <v>-0.61+0.91i</v>
      </c>
      <c r="AH34" t="s">
        <v>212</v>
      </c>
      <c r="AI34" t="str">
        <f>COMPLEX(-13.84, 12.71)</f>
        <v>-13.84+12.71i</v>
      </c>
      <c r="AJ34" t="str">
        <f>COMPLEX(0,1.08)</f>
        <v>1.08i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</row>
    <row r="35" spans="1:59" x14ac:dyDescent="0.25">
      <c r="A35" t="s">
        <v>71</v>
      </c>
      <c r="B35" t="s">
        <v>72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 t="str">
        <f>COMPLEX(-13.84, 12.71)</f>
        <v>-13.84+12.71i</v>
      </c>
      <c r="AI35" t="s">
        <v>213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</row>
    <row r="36" spans="1:59" x14ac:dyDescent="0.25">
      <c r="A36" t="s">
        <v>73</v>
      </c>
      <c r="B36" t="s">
        <v>74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 t="str">
        <f>COMPLEX(0,1.08)</f>
        <v>1.08i</v>
      </c>
      <c r="AI36">
        <v>0</v>
      </c>
      <c r="AJ36" t="s">
        <v>214</v>
      </c>
      <c r="AK36" t="str">
        <f>COMPLEX(-5.92, 8.88)</f>
        <v>-5.92+8.88i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</row>
    <row r="37" spans="1:59" x14ac:dyDescent="0.25">
      <c r="A37" t="s">
        <v>75</v>
      </c>
      <c r="B37" t="s">
        <v>76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 t="str">
        <f>COMPLEX(-5.92, 8.88)</f>
        <v>-5.92+8.88i</v>
      </c>
      <c r="AK37" t="s">
        <v>215</v>
      </c>
      <c r="AL37" t="str">
        <f>COMPLEX(-9.09, 11.35)</f>
        <v>-9.09+11.35i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</row>
    <row r="38" spans="1:59" x14ac:dyDescent="0.25">
      <c r="A38" t="s">
        <v>77</v>
      </c>
      <c r="B38" t="s">
        <v>78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 t="str">
        <f>COMPLEX(-9.09, 11.35)</f>
        <v>-9.09+11.35i</v>
      </c>
      <c r="AL38" t="s">
        <v>216</v>
      </c>
      <c r="AM38" t="str">
        <f>COMPLEX(-13.3, 16.78)</f>
        <v>-13.3+16.78i</v>
      </c>
      <c r="AN38">
        <v>0</v>
      </c>
      <c r="AO38">
        <v>0</v>
      </c>
      <c r="AP38" t="str">
        <f>COMPLEX(-9.77, 15.17)</f>
        <v>-9.77+15.17i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</row>
    <row r="39" spans="1:59" x14ac:dyDescent="0.25">
      <c r="A39" t="s">
        <v>79</v>
      </c>
      <c r="B39" t="s">
        <v>80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 t="str">
        <f>COMPLEX(-13.3, 16.78)</f>
        <v>-13.3+16.78i</v>
      </c>
      <c r="AM39" t="s">
        <v>217</v>
      </c>
      <c r="AN39" t="str">
        <f>COMPLEX(-4.51, 7)</f>
        <v>-4.51+7i</v>
      </c>
      <c r="AO39" t="str">
        <f>COMPLEX(-11.9, 18.88)</f>
        <v>-11.9+18.88i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</row>
    <row r="40" spans="1:59" x14ac:dyDescent="0.25">
      <c r="A40" t="s">
        <v>81</v>
      </c>
      <c r="B40" t="s">
        <v>82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 t="str">
        <f>COMPLEX(-15.5, 23.81)</f>
        <v>-15.5+23.81i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 t="str">
        <f>COMPLEX(-4.51, 7)</f>
        <v>-4.51+7i</v>
      </c>
      <c r="AN40" t="s">
        <v>218</v>
      </c>
      <c r="AO40">
        <v>0</v>
      </c>
      <c r="AP40">
        <v>0</v>
      </c>
      <c r="AQ40">
        <v>0</v>
      </c>
      <c r="AR40">
        <v>0</v>
      </c>
      <c r="AS40">
        <v>0</v>
      </c>
      <c r="AT40" t="str">
        <f>COMPLEX(-6.79, 13.74)</f>
        <v>-6.79+13.74i</v>
      </c>
      <c r="AU40">
        <v>0</v>
      </c>
      <c r="AV40">
        <v>0</v>
      </c>
      <c r="AW40">
        <v>0</v>
      </c>
      <c r="AX40" t="str">
        <f>COMPLEX(-9.46, 14.62)</f>
        <v>-9.46+14.62i</v>
      </c>
      <c r="AY40" t="str">
        <f>COMPLEX(-2.58, 3.97)</f>
        <v>-2.58+3.97i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</row>
    <row r="41" spans="1:59" x14ac:dyDescent="0.25">
      <c r="A41" t="s">
        <v>83</v>
      </c>
      <c r="B41" t="s">
        <v>84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 t="str">
        <f>COMPLEX(-11.9, 18.88)</f>
        <v>-11.9+18.88i</v>
      </c>
      <c r="AN41">
        <v>0</v>
      </c>
      <c r="AO41" t="s">
        <v>219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 t="str">
        <f>COMPLEX(0, 0.75)</f>
        <v>0.75i</v>
      </c>
    </row>
    <row r="42" spans="1:59" x14ac:dyDescent="0.25">
      <c r="A42" t="s">
        <v>85</v>
      </c>
      <c r="B42" t="s">
        <v>86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 t="str">
        <f>COMPLEX(-9.77, 15.17)</f>
        <v>-9.77+15.17i</v>
      </c>
      <c r="AM42">
        <v>0</v>
      </c>
      <c r="AN42">
        <v>0</v>
      </c>
      <c r="AO42">
        <v>0</v>
      </c>
      <c r="AP42" t="s">
        <v>220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 t="str">
        <f>COMPLEX(0, 0.87)</f>
        <v>0.87i</v>
      </c>
      <c r="BG42">
        <v>0</v>
      </c>
    </row>
    <row r="43" spans="1:59" x14ac:dyDescent="0.25">
      <c r="A43" t="s">
        <v>87</v>
      </c>
      <c r="B43" t="s">
        <v>29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 t="str">
        <f>COMPLEX(0,1.4)</f>
        <v>1.4i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 t="s">
        <v>221</v>
      </c>
      <c r="AR43" t="str">
        <f>COMPLEX(-1.24, 2.11)</f>
        <v>-1.24+2.11i</v>
      </c>
      <c r="AS43" t="str">
        <f>COMPLEX(0,2.43)</f>
        <v>2.43i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 t="str">
        <f>COMPLEX(-0.91, 0.9)</f>
        <v>-0.91+0.9i</v>
      </c>
      <c r="BG43">
        <v>0</v>
      </c>
    </row>
    <row r="44" spans="1:59" x14ac:dyDescent="0.25">
      <c r="A44" t="s">
        <v>88</v>
      </c>
      <c r="B44" t="s">
        <v>89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 t="str">
        <f>COMPLEX(-1.24, 2.11)</f>
        <v>-1.24+2.11i</v>
      </c>
      <c r="AR44" t="s">
        <v>222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 t="str">
        <f>COMPLEX(-1.25, 2.08)</f>
        <v>-1.25+2.08i</v>
      </c>
      <c r="BG44">
        <v>0</v>
      </c>
    </row>
    <row r="45" spans="1:59" x14ac:dyDescent="0.25">
      <c r="A45" t="s">
        <v>90</v>
      </c>
      <c r="B45" t="s">
        <v>29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 t="str">
        <f>COMPLEX(0,6.82)</f>
        <v>6.82i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 t="str">
        <f>COMPLEX(0,2.43)</f>
        <v>2.43i</v>
      </c>
      <c r="AR45">
        <v>0</v>
      </c>
      <c r="AS45" t="s">
        <v>223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</row>
    <row r="46" spans="1:59" x14ac:dyDescent="0.25">
      <c r="A46" t="s">
        <v>91</v>
      </c>
      <c r="B46" t="s">
        <v>92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t="str">
        <f>COMPLEX(-6.79, 13.74)</f>
        <v>-6.79+13.74i</v>
      </c>
      <c r="AO46">
        <v>0</v>
      </c>
      <c r="AP46">
        <v>0</v>
      </c>
      <c r="AQ46">
        <v>0</v>
      </c>
      <c r="AR46">
        <v>0</v>
      </c>
      <c r="AS46">
        <v>0</v>
      </c>
      <c r="AT46" t="s">
        <v>224</v>
      </c>
      <c r="AU46" t="str">
        <f>COMPLEX(-3.23, 6.43)</f>
        <v>-3.23+6.43i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</row>
    <row r="47" spans="1:59" x14ac:dyDescent="0.25">
      <c r="A47" t="s">
        <v>93</v>
      </c>
      <c r="B47" t="s">
        <v>94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 t="str">
        <f>COMPLEX(0,10.05)</f>
        <v>10.05i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 t="str">
        <f>COMPLEX(-3.23, 6.43)</f>
        <v>-3.23+6.43i</v>
      </c>
      <c r="AU47" t="s">
        <v>225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</row>
    <row r="48" spans="1:59" x14ac:dyDescent="0.25">
      <c r="A48" t="s">
        <v>95</v>
      </c>
      <c r="B48" t="s">
        <v>96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 t="str">
        <f>COMPLEX(0,15.12)</f>
        <v>15.12i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 t="s">
        <v>226</v>
      </c>
      <c r="AW48" t="str">
        <f>COMPLEX(-4.46, 13.2)</f>
        <v>-4.46+13.2i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</row>
    <row r="49" spans="1:59" x14ac:dyDescent="0.25">
      <c r="A49" t="s">
        <v>97</v>
      </c>
      <c r="B49" t="s">
        <v>98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 t="str">
        <f>COMPLEX(-4.46, 13.2)</f>
        <v>-4.46+13.2i</v>
      </c>
      <c r="AW49" t="s">
        <v>227</v>
      </c>
      <c r="AX49" t="str">
        <f>COMPLEX(-20.82, 26.66)</f>
        <v>-20.82+26.66i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</row>
    <row r="50" spans="1:59" x14ac:dyDescent="0.25">
      <c r="A50" t="s">
        <v>99</v>
      </c>
      <c r="B50" t="s">
        <v>100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 t="str">
        <f>COMPLEX(-9.46, 14.62)</f>
        <v>-9.46+14.62i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 t="str">
        <f>COMPLEX(-20.82, 26.66)</f>
        <v>-20.82+26.66i</v>
      </c>
      <c r="AX50" t="s">
        <v>228</v>
      </c>
      <c r="AY50" t="str">
        <f>COMPLEX(-3.53, 5.47)</f>
        <v>-3.53+5.47i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</row>
    <row r="51" spans="1:59" x14ac:dyDescent="0.25">
      <c r="A51" t="s">
        <v>101</v>
      </c>
      <c r="B51" t="s">
        <v>102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t="str">
        <f>COMPLEX(0,5.85)</f>
        <v>5.85i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 t="str">
        <f>COMPLEX(-2.58, 3.97)</f>
        <v>-2.58+3.97i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 t="str">
        <f>COMPLEX(-3.53, 5.47)</f>
        <v>-3.53+5.47i</v>
      </c>
      <c r="AY51" t="s">
        <v>229</v>
      </c>
      <c r="AZ51" t="str">
        <f>COMPLEX(-3.51, 5.61)</f>
        <v>-3.51+5.61i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</row>
    <row r="52" spans="1:59" x14ac:dyDescent="0.25">
      <c r="A52" t="s">
        <v>103</v>
      </c>
      <c r="B52" t="s">
        <v>104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 t="str">
        <f>COMPLEX(-3.51, 5.61)</f>
        <v>-3.51+5.61i</v>
      </c>
      <c r="AZ52" t="s">
        <v>230</v>
      </c>
      <c r="BA52" t="str">
        <f>COMPLEX(-2.05, 3.25)</f>
        <v>-2.05+3.25i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</row>
    <row r="53" spans="1:59" x14ac:dyDescent="0.25">
      <c r="A53" t="s">
        <v>105</v>
      </c>
      <c r="B53" t="s">
        <v>106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 t="str">
        <f>COMPLEX(0,15.1)</f>
        <v>15.1i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 t="str">
        <f>COMPLEX(-2.05, 3.25)</f>
        <v>-2.05+3.25i</v>
      </c>
      <c r="BA53" t="s">
        <v>231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</row>
    <row r="54" spans="1:59" x14ac:dyDescent="0.25">
      <c r="A54" t="s">
        <v>107</v>
      </c>
      <c r="B54" t="s">
        <v>108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 t="str">
        <f>COMPLEX(-2.59, 3.35)</f>
        <v>-2.59+3.35i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 t="s">
        <v>232</v>
      </c>
      <c r="BC54" t="str">
        <f>COMPLEX(-4.92, 6.35)</f>
        <v>-4.92+6.35i</v>
      </c>
      <c r="BD54">
        <v>0</v>
      </c>
      <c r="BE54">
        <v>0</v>
      </c>
      <c r="BF54">
        <v>0</v>
      </c>
      <c r="BG54">
        <v>0</v>
      </c>
    </row>
    <row r="55" spans="1:59" x14ac:dyDescent="0.25">
      <c r="A55" t="s">
        <v>109</v>
      </c>
      <c r="B55" t="s">
        <v>110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 t="str">
        <f>COMPLEX(-4.92, 6.35)</f>
        <v>-4.92+6.35i</v>
      </c>
      <c r="BC55" t="s">
        <v>233</v>
      </c>
      <c r="BD55" t="str">
        <f>COMPLEX(-2.11, 2.6)</f>
        <v>-2.11+2.6i</v>
      </c>
      <c r="BE55">
        <v>0</v>
      </c>
      <c r="BF55">
        <v>0</v>
      </c>
      <c r="BG55">
        <v>0</v>
      </c>
    </row>
    <row r="56" spans="1:59" x14ac:dyDescent="0.25">
      <c r="A56" t="s">
        <v>111</v>
      </c>
      <c r="B56" t="s">
        <v>112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 t="str">
        <f>COMPLEX(-2.11, 2.6)</f>
        <v>-2.11+2.6i</v>
      </c>
      <c r="BD56" t="s">
        <v>234</v>
      </c>
      <c r="BE56" t="str">
        <f>COMPLEX(-2.13, 2.79)</f>
        <v>-2.13+2.79i</v>
      </c>
      <c r="BF56">
        <v>0</v>
      </c>
      <c r="BG56">
        <v>0</v>
      </c>
    </row>
    <row r="57" spans="1:59" x14ac:dyDescent="0.25">
      <c r="A57" t="s">
        <v>113</v>
      </c>
      <c r="B57" t="s">
        <v>25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 t="str">
        <f>COMPLEX(0,8.83)</f>
        <v>8.83i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 t="str">
        <f>COMPLEX(-2.13, 2.79)</f>
        <v>-2.13+2.79i</v>
      </c>
      <c r="BE57" t="s">
        <v>235</v>
      </c>
      <c r="BF57">
        <v>0</v>
      </c>
      <c r="BG57">
        <v>0</v>
      </c>
    </row>
    <row r="58" spans="1:59" x14ac:dyDescent="0.25">
      <c r="A58" t="s">
        <v>114</v>
      </c>
      <c r="B58" t="s">
        <v>115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 t="str">
        <f>COMPLEX(0, 0.87)</f>
        <v>0.87i</v>
      </c>
      <c r="AQ58" t="str">
        <f>COMPLEX(-0.91, 0.9)</f>
        <v>-0.91+0.9i</v>
      </c>
      <c r="AR58" t="str">
        <f>COMPLEX(-1.25, 2.08)</f>
        <v>-1.25+2.08i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 t="s">
        <v>236</v>
      </c>
      <c r="BG58" t="str">
        <f>COMPLEX(-1.78, 2.66)</f>
        <v>-1.78+2.66i</v>
      </c>
    </row>
    <row r="59" spans="1:59" x14ac:dyDescent="0.25">
      <c r="A59" t="s">
        <v>116</v>
      </c>
      <c r="B59" t="s">
        <v>117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 t="str">
        <f>COMPLEX(0, 0.75)</f>
        <v>0.75i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 t="str">
        <f>COMPLEX(-1.78, 2.66)</f>
        <v>-1.78+2.66i</v>
      </c>
      <c r="BG59" t="s">
        <v>237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82"/>
  <sheetViews>
    <sheetView workbookViewId="0">
      <selection activeCell="Q78" sqref="Q78"/>
    </sheetView>
  </sheetViews>
  <sheetFormatPr defaultRowHeight="15" x14ac:dyDescent="0.25"/>
  <sheetData>
    <row r="1" spans="1:9" x14ac:dyDescent="0.25">
      <c r="A1" t="s">
        <v>0</v>
      </c>
      <c r="B1" t="s">
        <v>0</v>
      </c>
      <c r="C1" t="s">
        <v>0</v>
      </c>
    </row>
    <row r="2" spans="1:9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</row>
    <row r="3" spans="1:9" x14ac:dyDescent="0.25">
      <c r="A3">
        <v>1</v>
      </c>
      <c r="B3">
        <v>2</v>
      </c>
      <c r="C3">
        <v>8.3000000000000001E-3</v>
      </c>
      <c r="D3">
        <v>2.8000000000000001E-2</v>
      </c>
      <c r="E3">
        <v>0.129</v>
      </c>
      <c r="F3">
        <f>C3/(C3^2+D3^2)</f>
        <v>9.7316183798614126</v>
      </c>
      <c r="G3">
        <f>-D3/(C3^2+D3^2)</f>
        <v>-32.829555980255364</v>
      </c>
      <c r="H3">
        <f>-E3</f>
        <v>-0.129</v>
      </c>
      <c r="I3">
        <v>1</v>
      </c>
    </row>
    <row r="4" spans="1:9" x14ac:dyDescent="0.25">
      <c r="A4">
        <v>1</v>
      </c>
      <c r="B4">
        <v>15</v>
      </c>
      <c r="C4">
        <v>1.78E-2</v>
      </c>
      <c r="D4">
        <v>9.0999999999999998E-2</v>
      </c>
      <c r="E4">
        <v>9.8799999999999999E-2</v>
      </c>
      <c r="F4">
        <f t="shared" ref="F4:F67" si="0">C4/(C4^2+D4^2)</f>
        <v>2.0702874210266762</v>
      </c>
      <c r="G4">
        <f t="shared" ref="G4:G67" si="1">-D4/(C4^2+D4^2)</f>
        <v>-10.584053669293683</v>
      </c>
      <c r="H4">
        <f t="shared" ref="H4:H67" si="2">-E4</f>
        <v>-9.8799999999999999E-2</v>
      </c>
      <c r="I4">
        <v>1</v>
      </c>
    </row>
    <row r="5" spans="1:9" x14ac:dyDescent="0.25">
      <c r="A5">
        <v>1</v>
      </c>
      <c r="B5">
        <v>16</v>
      </c>
      <c r="C5">
        <v>4.5400000000000003E-2</v>
      </c>
      <c r="D5">
        <v>0.20599999999999999</v>
      </c>
      <c r="E5">
        <v>5.4600000000000003E-2</v>
      </c>
      <c r="F5">
        <f t="shared" si="0"/>
        <v>1.0202898342276228</v>
      </c>
      <c r="G5">
        <f t="shared" si="1"/>
        <v>-4.6295089394469224</v>
      </c>
      <c r="H5">
        <f t="shared" si="2"/>
        <v>-5.4600000000000003E-2</v>
      </c>
      <c r="I5">
        <v>1</v>
      </c>
    </row>
    <row r="6" spans="1:9" x14ac:dyDescent="0.25">
      <c r="A6">
        <v>1</v>
      </c>
      <c r="B6">
        <v>17</v>
      </c>
      <c r="C6">
        <v>2.3800000000000002E-2</v>
      </c>
      <c r="D6">
        <v>0.108</v>
      </c>
      <c r="E6">
        <v>2.86E-2</v>
      </c>
      <c r="F6">
        <f t="shared" si="0"/>
        <v>1.9459643316184867</v>
      </c>
      <c r="G6">
        <f t="shared" si="1"/>
        <v>-8.8304263787729642</v>
      </c>
      <c r="H6">
        <f t="shared" si="2"/>
        <v>-2.86E-2</v>
      </c>
      <c r="I6">
        <v>1</v>
      </c>
    </row>
    <row r="7" spans="1:9" x14ac:dyDescent="0.25">
      <c r="A7">
        <v>2</v>
      </c>
      <c r="B7">
        <v>3</v>
      </c>
      <c r="C7">
        <v>2.98E-2</v>
      </c>
      <c r="D7">
        <v>8.5000000000000006E-2</v>
      </c>
      <c r="E7">
        <v>8.1799999999999998E-2</v>
      </c>
      <c r="F7">
        <f t="shared" si="0"/>
        <v>3.673099109581611</v>
      </c>
      <c r="G7">
        <f t="shared" si="1"/>
        <v>-10.476960547464328</v>
      </c>
      <c r="H7">
        <f t="shared" si="2"/>
        <v>-8.1799999999999998E-2</v>
      </c>
      <c r="I7">
        <v>1</v>
      </c>
    </row>
    <row r="8" spans="1:9" x14ac:dyDescent="0.25">
      <c r="A8">
        <v>3</v>
      </c>
      <c r="B8">
        <v>4</v>
      </c>
      <c r="C8">
        <v>1.12E-2</v>
      </c>
      <c r="D8">
        <v>3.6600000000000001E-2</v>
      </c>
      <c r="E8">
        <v>3.7999999999999999E-2</v>
      </c>
      <c r="F8">
        <f t="shared" si="0"/>
        <v>7.6450511945392483</v>
      </c>
      <c r="G8">
        <f t="shared" si="1"/>
        <v>-24.982935153583615</v>
      </c>
      <c r="H8">
        <f t="shared" si="2"/>
        <v>-3.7999999999999999E-2</v>
      </c>
      <c r="I8">
        <v>1</v>
      </c>
    </row>
    <row r="9" spans="1:9" x14ac:dyDescent="0.25">
      <c r="A9">
        <v>3</v>
      </c>
      <c r="B9">
        <v>15</v>
      </c>
      <c r="C9">
        <v>1.6199999999999999E-2</v>
      </c>
      <c r="D9">
        <v>5.2999999999999999E-2</v>
      </c>
      <c r="E9">
        <v>5.4399999999999997E-2</v>
      </c>
      <c r="F9">
        <f t="shared" si="0"/>
        <v>5.2743989789805434</v>
      </c>
      <c r="G9">
        <f t="shared" si="1"/>
        <v>-17.255749746047456</v>
      </c>
      <c r="H9">
        <f t="shared" si="2"/>
        <v>-5.4399999999999997E-2</v>
      </c>
      <c r="I9">
        <v>1</v>
      </c>
    </row>
    <row r="10" spans="1:9" x14ac:dyDescent="0.25">
      <c r="A10">
        <v>4</v>
      </c>
      <c r="B10">
        <v>5</v>
      </c>
      <c r="C10">
        <v>6.25E-2</v>
      </c>
      <c r="D10">
        <v>0.13200000000000001</v>
      </c>
      <c r="E10">
        <v>2.58E-2</v>
      </c>
      <c r="F10">
        <f t="shared" si="0"/>
        <v>2.9301109926043996</v>
      </c>
      <c r="G10">
        <f t="shared" si="1"/>
        <v>-6.1883944163804925</v>
      </c>
      <c r="H10">
        <f t="shared" si="2"/>
        <v>-2.58E-2</v>
      </c>
      <c r="I10">
        <v>1</v>
      </c>
    </row>
    <row r="11" spans="1:9" x14ac:dyDescent="0.25">
      <c r="A11">
        <v>4</v>
      </c>
      <c r="B11">
        <v>6</v>
      </c>
      <c r="C11">
        <v>4.2999999999999997E-2</v>
      </c>
      <c r="D11">
        <v>0.14799999999999999</v>
      </c>
      <c r="E11">
        <v>3.4799999999999998E-2</v>
      </c>
      <c r="F11">
        <f t="shared" si="0"/>
        <v>1.8102976466130596</v>
      </c>
      <c r="G11">
        <f t="shared" si="1"/>
        <v>-6.230791899970531</v>
      </c>
      <c r="H11">
        <f t="shared" si="2"/>
        <v>-3.4799999999999998E-2</v>
      </c>
      <c r="I11">
        <v>1</v>
      </c>
    </row>
    <row r="12" spans="1:9" x14ac:dyDescent="0.25">
      <c r="A12">
        <v>4</v>
      </c>
      <c r="B12">
        <v>18</v>
      </c>
      <c r="C12">
        <v>0</v>
      </c>
      <c r="D12">
        <v>0.43</v>
      </c>
      <c r="E12">
        <v>0</v>
      </c>
      <c r="F12">
        <f t="shared" si="0"/>
        <v>0</v>
      </c>
      <c r="G12">
        <f t="shared" si="1"/>
        <v>-2.3255813953488373</v>
      </c>
      <c r="H12">
        <f t="shared" si="2"/>
        <v>0</v>
      </c>
      <c r="I12">
        <v>1</v>
      </c>
    </row>
    <row r="13" spans="1:9" x14ac:dyDescent="0.25">
      <c r="A13">
        <v>4</v>
      </c>
      <c r="B13">
        <v>18</v>
      </c>
      <c r="C13">
        <v>0</v>
      </c>
      <c r="D13">
        <v>0.55500000000000005</v>
      </c>
      <c r="E13">
        <v>0</v>
      </c>
      <c r="F13">
        <f t="shared" si="0"/>
        <v>0</v>
      </c>
      <c r="G13">
        <f t="shared" si="1"/>
        <v>-1.8018018018018016</v>
      </c>
      <c r="H13">
        <f t="shared" si="2"/>
        <v>0</v>
      </c>
      <c r="I13">
        <v>1</v>
      </c>
    </row>
    <row r="14" spans="1:9" x14ac:dyDescent="0.25">
      <c r="A14">
        <v>5</v>
      </c>
      <c r="B14">
        <v>6</v>
      </c>
      <c r="C14">
        <v>3.0200000000000001E-2</v>
      </c>
      <c r="D14">
        <v>6.4100000000000004E-2</v>
      </c>
      <c r="E14">
        <v>1.24E-2</v>
      </c>
      <c r="F14">
        <f t="shared" si="0"/>
        <v>6.0149177928040061</v>
      </c>
      <c r="G14">
        <f t="shared" si="1"/>
        <v>-12.766762599958172</v>
      </c>
      <c r="H14">
        <f t="shared" si="2"/>
        <v>-1.24E-2</v>
      </c>
      <c r="I14">
        <v>1</v>
      </c>
    </row>
    <row r="15" spans="1:9" x14ac:dyDescent="0.25">
      <c r="A15">
        <v>6</v>
      </c>
      <c r="B15">
        <v>7</v>
      </c>
      <c r="C15">
        <v>0.02</v>
      </c>
      <c r="D15">
        <v>0.10199999999999999</v>
      </c>
      <c r="E15">
        <v>2.76E-2</v>
      </c>
      <c r="F15">
        <f t="shared" si="0"/>
        <v>1.851166234727879</v>
      </c>
      <c r="G15">
        <f t="shared" si="1"/>
        <v>-9.440947797112182</v>
      </c>
      <c r="H15">
        <f t="shared" si="2"/>
        <v>-2.76E-2</v>
      </c>
      <c r="I15">
        <v>1</v>
      </c>
    </row>
    <row r="16" spans="1:9" x14ac:dyDescent="0.25">
      <c r="A16">
        <v>6</v>
      </c>
      <c r="B16">
        <v>8</v>
      </c>
      <c r="C16">
        <v>3.39E-2</v>
      </c>
      <c r="D16">
        <v>0.17299999999999999</v>
      </c>
      <c r="E16">
        <v>4.7E-2</v>
      </c>
      <c r="F16">
        <f t="shared" si="0"/>
        <v>1.0907964133069441</v>
      </c>
      <c r="G16">
        <f t="shared" si="1"/>
        <v>-5.5666011652537257</v>
      </c>
      <c r="H16">
        <f t="shared" si="2"/>
        <v>-4.7E-2</v>
      </c>
      <c r="I16">
        <v>1</v>
      </c>
    </row>
    <row r="17" spans="1:9" x14ac:dyDescent="0.25">
      <c r="A17">
        <v>7</v>
      </c>
      <c r="B17">
        <v>8</v>
      </c>
      <c r="C17">
        <v>1.3899999999999999E-2</v>
      </c>
      <c r="D17">
        <v>7.1199999999999999E-2</v>
      </c>
      <c r="E17">
        <v>1.9400000000000001E-2</v>
      </c>
      <c r="F17">
        <f t="shared" si="0"/>
        <v>2.6412548810960259</v>
      </c>
      <c r="G17">
        <f t="shared" si="1"/>
        <v>-13.529305577988277</v>
      </c>
      <c r="H17">
        <f t="shared" si="2"/>
        <v>-1.9400000000000001E-2</v>
      </c>
      <c r="I17">
        <v>1</v>
      </c>
    </row>
    <row r="18" spans="1:9" x14ac:dyDescent="0.25">
      <c r="A18">
        <v>7</v>
      </c>
      <c r="B18">
        <v>29</v>
      </c>
      <c r="C18">
        <v>0</v>
      </c>
      <c r="D18">
        <v>6.4799999999999996E-2</v>
      </c>
      <c r="E18">
        <v>0</v>
      </c>
      <c r="F18">
        <f t="shared" si="0"/>
        <v>0</v>
      </c>
      <c r="G18">
        <f t="shared" si="1"/>
        <v>-15.4320987654321</v>
      </c>
      <c r="H18">
        <f t="shared" si="2"/>
        <v>0</v>
      </c>
      <c r="I18">
        <v>1</v>
      </c>
    </row>
    <row r="19" spans="1:9" x14ac:dyDescent="0.25">
      <c r="A19">
        <v>8</v>
      </c>
      <c r="B19">
        <v>9</v>
      </c>
      <c r="C19">
        <v>9.9000000000000008E-3</v>
      </c>
      <c r="D19">
        <v>5.0500000000000003E-2</v>
      </c>
      <c r="E19">
        <v>5.4800000000000001E-2</v>
      </c>
      <c r="F19">
        <f t="shared" si="0"/>
        <v>3.7383036408811821</v>
      </c>
      <c r="G19">
        <f t="shared" si="1"/>
        <v>-19.069124632777747</v>
      </c>
      <c r="H19">
        <f t="shared" si="2"/>
        <v>-5.4800000000000001E-2</v>
      </c>
      <c r="I19">
        <v>1</v>
      </c>
    </row>
    <row r="20" spans="1:9" x14ac:dyDescent="0.25">
      <c r="A20">
        <v>9</v>
      </c>
      <c r="B20">
        <v>10</v>
      </c>
      <c r="C20">
        <v>3.6900000000000002E-2</v>
      </c>
      <c r="D20">
        <v>0.16789999999999999</v>
      </c>
      <c r="E20">
        <v>4.3999999999999997E-2</v>
      </c>
      <c r="F20">
        <f t="shared" si="0"/>
        <v>1.2486456086589006</v>
      </c>
      <c r="G20">
        <f t="shared" si="1"/>
        <v>-5.6815067125699024</v>
      </c>
      <c r="H20">
        <f t="shared" si="2"/>
        <v>-4.3999999999999997E-2</v>
      </c>
      <c r="I20">
        <v>1</v>
      </c>
    </row>
    <row r="21" spans="1:9" x14ac:dyDescent="0.25">
      <c r="A21">
        <v>9</v>
      </c>
      <c r="B21">
        <v>11</v>
      </c>
      <c r="C21">
        <v>2.58E-2</v>
      </c>
      <c r="D21">
        <v>8.48E-2</v>
      </c>
      <c r="E21">
        <v>2.18E-2</v>
      </c>
      <c r="F21">
        <f t="shared" si="0"/>
        <v>3.283829811065234</v>
      </c>
      <c r="G21">
        <f t="shared" si="1"/>
        <v>-10.793363099935343</v>
      </c>
      <c r="H21">
        <f t="shared" si="2"/>
        <v>-2.18E-2</v>
      </c>
      <c r="I21">
        <v>1</v>
      </c>
    </row>
    <row r="22" spans="1:9" x14ac:dyDescent="0.25">
      <c r="A22">
        <v>9</v>
      </c>
      <c r="B22">
        <v>12</v>
      </c>
      <c r="C22">
        <v>6.4799999999999996E-2</v>
      </c>
      <c r="D22">
        <v>0.29499999999999998</v>
      </c>
      <c r="E22">
        <v>7.7200000000000005E-2</v>
      </c>
      <c r="F22">
        <f t="shared" si="0"/>
        <v>0.71033907290227449</v>
      </c>
      <c r="G22">
        <f t="shared" si="1"/>
        <v>-3.2337967053421446</v>
      </c>
      <c r="H22">
        <f t="shared" si="2"/>
        <v>-7.7200000000000005E-2</v>
      </c>
      <c r="I22">
        <v>1</v>
      </c>
    </row>
    <row r="23" spans="1:9" x14ac:dyDescent="0.25">
      <c r="A23">
        <v>9</v>
      </c>
      <c r="B23">
        <v>13</v>
      </c>
      <c r="C23">
        <v>4.8099999999999997E-2</v>
      </c>
      <c r="D23">
        <v>0.158</v>
      </c>
      <c r="E23">
        <v>4.0599999999999997E-2</v>
      </c>
      <c r="F23">
        <f t="shared" si="0"/>
        <v>1.7633509680650172</v>
      </c>
      <c r="G23">
        <f t="shared" si="1"/>
        <v>-5.7922963192156498</v>
      </c>
      <c r="H23">
        <f t="shared" si="2"/>
        <v>-4.0599999999999997E-2</v>
      </c>
      <c r="I23">
        <v>1</v>
      </c>
    </row>
    <row r="24" spans="1:9" x14ac:dyDescent="0.25">
      <c r="A24">
        <v>9</v>
      </c>
      <c r="B24">
        <v>55</v>
      </c>
      <c r="C24">
        <v>0</v>
      </c>
      <c r="D24">
        <v>0.1205</v>
      </c>
      <c r="E24">
        <v>0</v>
      </c>
      <c r="F24">
        <f t="shared" si="0"/>
        <v>0</v>
      </c>
      <c r="G24">
        <f t="shared" si="1"/>
        <v>-8.2987551867219924</v>
      </c>
      <c r="H24">
        <f t="shared" si="2"/>
        <v>0</v>
      </c>
      <c r="I24">
        <v>1</v>
      </c>
    </row>
    <row r="25" spans="1:9" x14ac:dyDescent="0.25">
      <c r="A25">
        <v>10</v>
      </c>
      <c r="B25">
        <v>12</v>
      </c>
      <c r="C25">
        <v>2.7699999999999999E-2</v>
      </c>
      <c r="D25">
        <v>0.12620000000000001</v>
      </c>
      <c r="E25">
        <v>3.2800000000000003E-2</v>
      </c>
      <c r="F25">
        <f t="shared" si="0"/>
        <v>1.6593056195349989</v>
      </c>
      <c r="G25">
        <f t="shared" si="1"/>
        <v>-7.5597245193255196</v>
      </c>
      <c r="H25">
        <f t="shared" si="2"/>
        <v>-3.2800000000000003E-2</v>
      </c>
      <c r="I25">
        <v>1</v>
      </c>
    </row>
    <row r="26" spans="1:9" x14ac:dyDescent="0.25">
      <c r="A26">
        <v>10</v>
      </c>
      <c r="B26">
        <v>51</v>
      </c>
      <c r="C26">
        <v>0</v>
      </c>
      <c r="D26">
        <v>7.1199999999999999E-2</v>
      </c>
      <c r="E26">
        <v>0</v>
      </c>
      <c r="F26">
        <f t="shared" si="0"/>
        <v>0</v>
      </c>
      <c r="G26">
        <f t="shared" si="1"/>
        <v>-14.04494382022472</v>
      </c>
      <c r="H26">
        <f t="shared" si="2"/>
        <v>0</v>
      </c>
      <c r="I26">
        <v>1</v>
      </c>
    </row>
    <row r="27" spans="1:9" x14ac:dyDescent="0.25">
      <c r="A27">
        <v>11</v>
      </c>
      <c r="B27">
        <v>13</v>
      </c>
      <c r="C27">
        <v>2.23E-2</v>
      </c>
      <c r="D27">
        <v>7.3200000000000001E-2</v>
      </c>
      <c r="E27">
        <v>1.8800000000000001E-2</v>
      </c>
      <c r="F27">
        <f t="shared" si="0"/>
        <v>3.8083657670612223</v>
      </c>
      <c r="G27">
        <f t="shared" si="1"/>
        <v>-12.50100332506195</v>
      </c>
      <c r="H27">
        <f t="shared" si="2"/>
        <v>-1.8800000000000001E-2</v>
      </c>
      <c r="I27">
        <v>1</v>
      </c>
    </row>
    <row r="28" spans="1:9" x14ac:dyDescent="0.25">
      <c r="A28">
        <v>11</v>
      </c>
      <c r="B28">
        <v>41</v>
      </c>
      <c r="C28">
        <v>0</v>
      </c>
      <c r="D28">
        <v>0.749</v>
      </c>
      <c r="E28">
        <v>0</v>
      </c>
      <c r="F28">
        <f t="shared" si="0"/>
        <v>0</v>
      </c>
      <c r="G28">
        <f t="shared" si="1"/>
        <v>-1.3351134846461949</v>
      </c>
      <c r="H28">
        <f t="shared" si="2"/>
        <v>0</v>
      </c>
      <c r="I28">
        <v>1</v>
      </c>
    </row>
    <row r="29" spans="1:9" x14ac:dyDescent="0.25">
      <c r="A29">
        <v>11</v>
      </c>
      <c r="B29">
        <v>43</v>
      </c>
      <c r="C29">
        <v>0</v>
      </c>
      <c r="D29">
        <v>0.153</v>
      </c>
      <c r="E29">
        <v>0</v>
      </c>
      <c r="F29">
        <f t="shared" si="0"/>
        <v>0</v>
      </c>
      <c r="G29">
        <f t="shared" si="1"/>
        <v>-6.5359477124183005</v>
      </c>
      <c r="H29">
        <f t="shared" si="2"/>
        <v>0</v>
      </c>
      <c r="I29">
        <v>1</v>
      </c>
    </row>
    <row r="30" spans="1:9" x14ac:dyDescent="0.25">
      <c r="A30">
        <v>12</v>
      </c>
      <c r="B30">
        <v>13</v>
      </c>
      <c r="C30">
        <v>1.78E-2</v>
      </c>
      <c r="D30">
        <v>5.8000000000000003E-2</v>
      </c>
      <c r="E30">
        <v>6.0400000000000002E-2</v>
      </c>
      <c r="F30">
        <f t="shared" si="0"/>
        <v>4.8358526857999804</v>
      </c>
      <c r="G30">
        <f t="shared" si="1"/>
        <v>-15.757272796426902</v>
      </c>
      <c r="H30">
        <f t="shared" si="2"/>
        <v>-6.0400000000000002E-2</v>
      </c>
      <c r="I30">
        <v>1</v>
      </c>
    </row>
    <row r="31" spans="1:9" x14ac:dyDescent="0.25">
      <c r="A31">
        <v>12</v>
      </c>
      <c r="B31">
        <v>16</v>
      </c>
      <c r="C31">
        <v>1.7999999999999999E-2</v>
      </c>
      <c r="D31">
        <v>8.1299999999999997E-2</v>
      </c>
      <c r="E31">
        <v>2.1600000000000001E-2</v>
      </c>
      <c r="F31">
        <f t="shared" si="0"/>
        <v>2.5960203008787528</v>
      </c>
      <c r="G31">
        <f t="shared" si="1"/>
        <v>-11.725358358969034</v>
      </c>
      <c r="H31">
        <f t="shared" si="2"/>
        <v>-2.1600000000000001E-2</v>
      </c>
      <c r="I31">
        <v>1</v>
      </c>
    </row>
    <row r="32" spans="1:9" x14ac:dyDescent="0.25">
      <c r="A32">
        <v>12</v>
      </c>
      <c r="B32">
        <v>17</v>
      </c>
      <c r="C32">
        <v>3.9699999999999999E-2</v>
      </c>
      <c r="D32">
        <v>0.17899999999999999</v>
      </c>
      <c r="E32">
        <v>4.7600000000000003E-2</v>
      </c>
      <c r="F32">
        <f t="shared" si="0"/>
        <v>1.1809469528742671</v>
      </c>
      <c r="G32">
        <f t="shared" si="1"/>
        <v>-5.3246726590552598</v>
      </c>
      <c r="H32">
        <f t="shared" si="2"/>
        <v>-4.7600000000000003E-2</v>
      </c>
      <c r="I32">
        <v>1</v>
      </c>
    </row>
    <row r="33" spans="1:9" x14ac:dyDescent="0.25">
      <c r="A33">
        <v>13</v>
      </c>
      <c r="B33">
        <v>14</v>
      </c>
      <c r="C33">
        <v>1.32E-2</v>
      </c>
      <c r="D33">
        <v>4.3400000000000001E-2</v>
      </c>
      <c r="E33">
        <v>1.0999999999999999E-2</v>
      </c>
      <c r="F33">
        <f t="shared" si="0"/>
        <v>6.4146175527262113</v>
      </c>
      <c r="G33">
        <f t="shared" si="1"/>
        <v>-21.090484983963453</v>
      </c>
      <c r="H33">
        <f t="shared" si="2"/>
        <v>-1.0999999999999999E-2</v>
      </c>
      <c r="I33">
        <v>1</v>
      </c>
    </row>
    <row r="34" spans="1:9" x14ac:dyDescent="0.25">
      <c r="A34">
        <v>13</v>
      </c>
      <c r="B34">
        <v>15</v>
      </c>
      <c r="C34">
        <v>2.69E-2</v>
      </c>
      <c r="D34">
        <v>8.6900000000000005E-2</v>
      </c>
      <c r="E34">
        <v>2.3E-2</v>
      </c>
      <c r="F34">
        <f t="shared" si="0"/>
        <v>3.2506688643927286</v>
      </c>
      <c r="G34">
        <f t="shared" si="1"/>
        <v>-10.50123138720179</v>
      </c>
      <c r="H34">
        <f t="shared" si="2"/>
        <v>-2.3E-2</v>
      </c>
      <c r="I34">
        <v>1</v>
      </c>
    </row>
    <row r="35" spans="1:9" x14ac:dyDescent="0.25">
      <c r="A35">
        <v>13</v>
      </c>
      <c r="B35">
        <v>49</v>
      </c>
      <c r="C35">
        <v>0</v>
      </c>
      <c r="D35">
        <v>0.191</v>
      </c>
      <c r="E35">
        <v>0</v>
      </c>
      <c r="F35">
        <f t="shared" si="0"/>
        <v>0</v>
      </c>
      <c r="G35">
        <f t="shared" si="1"/>
        <v>-5.2356020942408374</v>
      </c>
      <c r="H35">
        <f t="shared" si="2"/>
        <v>0</v>
      </c>
      <c r="I35">
        <v>1</v>
      </c>
    </row>
    <row r="36" spans="1:9" x14ac:dyDescent="0.25">
      <c r="A36">
        <v>14</v>
      </c>
      <c r="B36">
        <v>15</v>
      </c>
      <c r="C36">
        <v>1.7100000000000001E-2</v>
      </c>
      <c r="D36">
        <v>5.4699999999999999E-2</v>
      </c>
      <c r="E36">
        <v>1.4800000000000001E-2</v>
      </c>
      <c r="F36">
        <f t="shared" si="0"/>
        <v>5.2062718830872283</v>
      </c>
      <c r="G36">
        <f t="shared" si="1"/>
        <v>-16.653980818998328</v>
      </c>
      <c r="H36">
        <f t="shared" si="2"/>
        <v>-1.4800000000000001E-2</v>
      </c>
      <c r="I36">
        <v>1</v>
      </c>
    </row>
    <row r="37" spans="1:9" x14ac:dyDescent="0.25">
      <c r="A37">
        <v>14</v>
      </c>
      <c r="B37">
        <v>46</v>
      </c>
      <c r="C37">
        <v>0</v>
      </c>
      <c r="D37">
        <v>7.3499999999999996E-2</v>
      </c>
      <c r="E37">
        <v>0</v>
      </c>
      <c r="F37">
        <f t="shared" si="0"/>
        <v>0</v>
      </c>
      <c r="G37">
        <f t="shared" si="1"/>
        <v>-13.605442176870749</v>
      </c>
      <c r="H37">
        <f t="shared" si="2"/>
        <v>0</v>
      </c>
      <c r="I37">
        <v>1</v>
      </c>
    </row>
    <row r="38" spans="1:9" x14ac:dyDescent="0.25">
      <c r="A38">
        <v>15</v>
      </c>
      <c r="B38">
        <v>45</v>
      </c>
      <c r="C38">
        <v>0</v>
      </c>
      <c r="D38">
        <v>0.1042</v>
      </c>
      <c r="E38">
        <v>0</v>
      </c>
      <c r="F38">
        <f t="shared" si="0"/>
        <v>0</v>
      </c>
      <c r="G38">
        <f t="shared" si="1"/>
        <v>-9.5969289827255277</v>
      </c>
      <c r="H38">
        <f t="shared" si="2"/>
        <v>0</v>
      </c>
      <c r="I38">
        <v>1</v>
      </c>
    </row>
    <row r="39" spans="1:9" x14ac:dyDescent="0.25">
      <c r="A39">
        <v>18</v>
      </c>
      <c r="B39">
        <v>19</v>
      </c>
      <c r="C39">
        <v>0.46100000000000002</v>
      </c>
      <c r="D39">
        <v>0.68500000000000005</v>
      </c>
      <c r="E39">
        <v>0</v>
      </c>
      <c r="F39">
        <f t="shared" si="0"/>
        <v>0.67620492089429196</v>
      </c>
      <c r="G39">
        <f t="shared" si="1"/>
        <v>-1.0047730386390239</v>
      </c>
      <c r="H39">
        <f t="shared" si="2"/>
        <v>0</v>
      </c>
      <c r="I39">
        <v>1</v>
      </c>
    </row>
    <row r="40" spans="1:9" x14ac:dyDescent="0.25">
      <c r="A40">
        <v>19</v>
      </c>
      <c r="B40">
        <v>20</v>
      </c>
      <c r="C40">
        <v>0.28299999999999997</v>
      </c>
      <c r="D40">
        <v>0.434</v>
      </c>
      <c r="E40">
        <v>0</v>
      </c>
      <c r="F40">
        <f t="shared" si="0"/>
        <v>1.0542196725586246</v>
      </c>
      <c r="G40">
        <f t="shared" si="1"/>
        <v>-1.6167185084467954</v>
      </c>
      <c r="H40">
        <f t="shared" si="2"/>
        <v>0</v>
      </c>
      <c r="I40">
        <v>1</v>
      </c>
    </row>
    <row r="41" spans="1:9" x14ac:dyDescent="0.25">
      <c r="A41">
        <v>21</v>
      </c>
      <c r="B41">
        <v>20</v>
      </c>
      <c r="C41">
        <v>0</v>
      </c>
      <c r="D41">
        <v>0.77669999999999995</v>
      </c>
      <c r="E41">
        <v>0</v>
      </c>
      <c r="F41">
        <f t="shared" si="0"/>
        <v>0</v>
      </c>
      <c r="G41">
        <f t="shared" si="1"/>
        <v>-1.2874983906270119</v>
      </c>
      <c r="H41">
        <f t="shared" si="2"/>
        <v>0</v>
      </c>
      <c r="I41">
        <v>1</v>
      </c>
    </row>
    <row r="42" spans="1:9" x14ac:dyDescent="0.25">
      <c r="A42">
        <v>21</v>
      </c>
      <c r="B42">
        <v>22</v>
      </c>
      <c r="C42">
        <v>7.3599999999999999E-2</v>
      </c>
      <c r="D42">
        <v>0.11700000000000001</v>
      </c>
      <c r="E42">
        <v>0</v>
      </c>
      <c r="F42">
        <f t="shared" si="0"/>
        <v>3.8522010932714186</v>
      </c>
      <c r="G42">
        <f t="shared" si="1"/>
        <v>-6.1237435857711411</v>
      </c>
      <c r="H42">
        <f t="shared" si="2"/>
        <v>0</v>
      </c>
      <c r="I42">
        <v>1</v>
      </c>
    </row>
    <row r="43" spans="1:9" x14ac:dyDescent="0.25">
      <c r="A43">
        <v>22</v>
      </c>
      <c r="B43">
        <v>23</v>
      </c>
      <c r="C43">
        <v>9.9000000000000008E-3</v>
      </c>
      <c r="D43">
        <v>1.52E-2</v>
      </c>
      <c r="E43">
        <v>0</v>
      </c>
      <c r="F43">
        <f t="shared" si="0"/>
        <v>30.086612976751255</v>
      </c>
      <c r="G43">
        <f t="shared" si="1"/>
        <v>-46.193587600668593</v>
      </c>
      <c r="H43">
        <f t="shared" si="2"/>
        <v>0</v>
      </c>
      <c r="I43">
        <v>1</v>
      </c>
    </row>
    <row r="44" spans="1:9" x14ac:dyDescent="0.25">
      <c r="A44">
        <v>22</v>
      </c>
      <c r="B44">
        <v>38</v>
      </c>
      <c r="C44">
        <v>1.9199999999999998E-2</v>
      </c>
      <c r="D44">
        <v>2.9499999999999998E-2</v>
      </c>
      <c r="E44">
        <v>0</v>
      </c>
      <c r="F44">
        <f t="shared" si="0"/>
        <v>15.497743948211706</v>
      </c>
      <c r="G44">
        <f t="shared" si="1"/>
        <v>-23.811637837096111</v>
      </c>
      <c r="H44">
        <f t="shared" si="2"/>
        <v>0</v>
      </c>
      <c r="I44">
        <v>1</v>
      </c>
    </row>
    <row r="45" spans="1:9" x14ac:dyDescent="0.25">
      <c r="A45">
        <v>23</v>
      </c>
      <c r="B45">
        <v>24</v>
      </c>
      <c r="C45">
        <v>0.16600000000000001</v>
      </c>
      <c r="D45">
        <v>0.25600000000000001</v>
      </c>
      <c r="E45">
        <v>8.3999999999999995E-3</v>
      </c>
      <c r="F45">
        <f t="shared" si="0"/>
        <v>1.7831822283332617</v>
      </c>
      <c r="G45">
        <f t="shared" si="1"/>
        <v>-2.7499677738151505</v>
      </c>
      <c r="H45">
        <f t="shared" si="2"/>
        <v>-8.3999999999999995E-3</v>
      </c>
      <c r="I45">
        <v>1</v>
      </c>
    </row>
    <row r="46" spans="1:9" x14ac:dyDescent="0.25">
      <c r="A46">
        <v>24</v>
      </c>
      <c r="B46">
        <v>25</v>
      </c>
      <c r="C46">
        <v>0</v>
      </c>
      <c r="D46">
        <v>1.23</v>
      </c>
      <c r="E46">
        <v>0</v>
      </c>
      <c r="F46">
        <f t="shared" si="0"/>
        <v>0</v>
      </c>
      <c r="G46">
        <f t="shared" si="1"/>
        <v>-0.81300813008130079</v>
      </c>
      <c r="H46">
        <f t="shared" si="2"/>
        <v>0</v>
      </c>
      <c r="I46">
        <v>1</v>
      </c>
    </row>
    <row r="47" spans="1:9" x14ac:dyDescent="0.25">
      <c r="A47">
        <v>24</v>
      </c>
      <c r="B47">
        <v>25</v>
      </c>
      <c r="C47">
        <v>0</v>
      </c>
      <c r="D47">
        <v>1.1819999999999999</v>
      </c>
      <c r="E47">
        <v>0</v>
      </c>
      <c r="F47">
        <f t="shared" si="0"/>
        <v>0</v>
      </c>
      <c r="G47">
        <f t="shared" si="1"/>
        <v>-0.84602368866328259</v>
      </c>
      <c r="H47">
        <f t="shared" si="2"/>
        <v>0</v>
      </c>
      <c r="I47">
        <v>1</v>
      </c>
    </row>
    <row r="48" spans="1:9" x14ac:dyDescent="0.25">
      <c r="A48">
        <v>24</v>
      </c>
      <c r="B48">
        <v>26</v>
      </c>
      <c r="C48">
        <v>0</v>
      </c>
      <c r="D48">
        <v>4.7300000000000002E-2</v>
      </c>
      <c r="E48">
        <v>0</v>
      </c>
      <c r="F48">
        <f t="shared" si="0"/>
        <v>0</v>
      </c>
      <c r="G48">
        <f t="shared" si="1"/>
        <v>-21.141649048625791</v>
      </c>
      <c r="H48">
        <f t="shared" si="2"/>
        <v>0</v>
      </c>
      <c r="I48">
        <v>1</v>
      </c>
    </row>
    <row r="49" spans="1:9" x14ac:dyDescent="0.25">
      <c r="A49">
        <v>25</v>
      </c>
      <c r="B49">
        <v>30</v>
      </c>
      <c r="C49">
        <v>0.13500000000000001</v>
      </c>
      <c r="D49">
        <v>0.20200000000000001</v>
      </c>
      <c r="E49">
        <v>0</v>
      </c>
      <c r="F49">
        <f t="shared" si="0"/>
        <v>2.2870114689389958</v>
      </c>
      <c r="G49">
        <f t="shared" si="1"/>
        <v>-3.4220467905605716</v>
      </c>
      <c r="H49">
        <f t="shared" si="2"/>
        <v>0</v>
      </c>
      <c r="I49">
        <v>1</v>
      </c>
    </row>
    <row r="50" spans="1:9" x14ac:dyDescent="0.25">
      <c r="A50">
        <v>26</v>
      </c>
      <c r="B50">
        <v>27</v>
      </c>
      <c r="C50">
        <v>0.16500000000000001</v>
      </c>
      <c r="D50">
        <v>0.254</v>
      </c>
      <c r="E50">
        <v>0</v>
      </c>
      <c r="F50">
        <f t="shared" si="0"/>
        <v>1.7985415463097199</v>
      </c>
      <c r="G50">
        <f t="shared" si="1"/>
        <v>-2.7686639561373867</v>
      </c>
      <c r="H50">
        <f t="shared" si="2"/>
        <v>0</v>
      </c>
      <c r="I50">
        <v>1</v>
      </c>
    </row>
    <row r="51" spans="1:9" x14ac:dyDescent="0.25">
      <c r="A51">
        <v>27</v>
      </c>
      <c r="B51">
        <v>28</v>
      </c>
      <c r="C51">
        <v>6.1800000000000001E-2</v>
      </c>
      <c r="D51">
        <v>9.5399999999999999E-2</v>
      </c>
      <c r="E51">
        <v>0</v>
      </c>
      <c r="F51">
        <f t="shared" si="0"/>
        <v>4.7831336491130303</v>
      </c>
      <c r="G51">
        <f t="shared" si="1"/>
        <v>-7.3836723321259399</v>
      </c>
      <c r="H51">
        <f t="shared" si="2"/>
        <v>0</v>
      </c>
      <c r="I51">
        <v>1</v>
      </c>
    </row>
    <row r="52" spans="1:9" x14ac:dyDescent="0.25">
      <c r="A52">
        <v>28</v>
      </c>
      <c r="B52">
        <v>29</v>
      </c>
      <c r="C52">
        <v>4.1799999999999997E-2</v>
      </c>
      <c r="D52">
        <v>5.8700000000000002E-2</v>
      </c>
      <c r="E52">
        <v>0</v>
      </c>
      <c r="F52">
        <f t="shared" si="0"/>
        <v>8.0494056341988038</v>
      </c>
      <c r="G52">
        <f t="shared" si="1"/>
        <v>-11.303830400178704</v>
      </c>
      <c r="H52">
        <f t="shared" si="2"/>
        <v>0</v>
      </c>
      <c r="I52">
        <v>1</v>
      </c>
    </row>
    <row r="53" spans="1:9" x14ac:dyDescent="0.25">
      <c r="A53">
        <v>29</v>
      </c>
      <c r="B53">
        <v>52</v>
      </c>
      <c r="C53">
        <v>0.14419999999999999</v>
      </c>
      <c r="D53">
        <v>0.187</v>
      </c>
      <c r="E53">
        <v>0</v>
      </c>
      <c r="F53">
        <f t="shared" si="0"/>
        <v>2.5859607794752901</v>
      </c>
      <c r="G53">
        <f t="shared" si="1"/>
        <v>-3.3534997625650433</v>
      </c>
      <c r="H53">
        <f t="shared" si="2"/>
        <v>0</v>
      </c>
      <c r="I53">
        <v>1</v>
      </c>
    </row>
    <row r="54" spans="1:9" x14ac:dyDescent="0.25">
      <c r="A54">
        <v>30</v>
      </c>
      <c r="B54">
        <v>31</v>
      </c>
      <c r="C54">
        <v>0.32600000000000001</v>
      </c>
      <c r="D54">
        <v>0.497</v>
      </c>
      <c r="E54">
        <v>0</v>
      </c>
      <c r="F54">
        <f t="shared" si="0"/>
        <v>0.92276773709611215</v>
      </c>
      <c r="G54">
        <f t="shared" si="1"/>
        <v>-1.4067962126894715</v>
      </c>
      <c r="H54">
        <f t="shared" si="2"/>
        <v>0</v>
      </c>
      <c r="I54">
        <v>1</v>
      </c>
    </row>
    <row r="55" spans="1:9" x14ac:dyDescent="0.25">
      <c r="A55">
        <v>31</v>
      </c>
      <c r="B55">
        <v>32</v>
      </c>
      <c r="C55">
        <v>0.50700000000000001</v>
      </c>
      <c r="D55">
        <v>0.755</v>
      </c>
      <c r="E55">
        <v>0</v>
      </c>
      <c r="F55">
        <f t="shared" si="0"/>
        <v>0.61300439863905765</v>
      </c>
      <c r="G55">
        <f t="shared" si="1"/>
        <v>-0.9128566488609241</v>
      </c>
      <c r="H55">
        <f t="shared" si="2"/>
        <v>0</v>
      </c>
      <c r="I55">
        <v>1</v>
      </c>
    </row>
    <row r="56" spans="1:9" x14ac:dyDescent="0.25">
      <c r="A56">
        <v>32</v>
      </c>
      <c r="B56">
        <v>33</v>
      </c>
      <c r="C56">
        <v>3.9199999999999999E-2</v>
      </c>
      <c r="D56">
        <v>3.5999999999999997E-2</v>
      </c>
      <c r="E56">
        <v>0</v>
      </c>
      <c r="F56">
        <f t="shared" si="0"/>
        <v>13.838680524175327</v>
      </c>
      <c r="G56">
        <f t="shared" si="1"/>
        <v>-12.708992318120197</v>
      </c>
      <c r="H56">
        <f t="shared" si="2"/>
        <v>0</v>
      </c>
      <c r="I56">
        <v>1</v>
      </c>
    </row>
    <row r="57" spans="1:9" x14ac:dyDescent="0.25">
      <c r="A57">
        <v>34</v>
      </c>
      <c r="B57">
        <v>32</v>
      </c>
      <c r="C57">
        <v>0</v>
      </c>
      <c r="D57">
        <v>0.95299999999999996</v>
      </c>
      <c r="E57">
        <v>0</v>
      </c>
      <c r="F57">
        <f t="shared" si="0"/>
        <v>0</v>
      </c>
      <c r="G57">
        <f t="shared" si="1"/>
        <v>-1.0493179433368311</v>
      </c>
      <c r="H57">
        <f t="shared" si="2"/>
        <v>0</v>
      </c>
      <c r="I57">
        <v>1</v>
      </c>
    </row>
    <row r="58" spans="1:9" x14ac:dyDescent="0.25">
      <c r="A58">
        <v>34</v>
      </c>
      <c r="B58">
        <v>35</v>
      </c>
      <c r="C58">
        <v>5.1999999999999998E-2</v>
      </c>
      <c r="D58">
        <v>7.8E-2</v>
      </c>
      <c r="E58">
        <v>3.2000000000000002E-3</v>
      </c>
      <c r="F58">
        <f t="shared" si="0"/>
        <v>5.9171597633136086</v>
      </c>
      <c r="G58">
        <f t="shared" si="1"/>
        <v>-8.8757396449704142</v>
      </c>
      <c r="H58">
        <f t="shared" si="2"/>
        <v>-3.2000000000000002E-3</v>
      </c>
      <c r="I58">
        <v>1</v>
      </c>
    </row>
    <row r="59" spans="1:9" x14ac:dyDescent="0.25">
      <c r="A59">
        <v>35</v>
      </c>
      <c r="B59">
        <v>36</v>
      </c>
      <c r="C59">
        <v>4.2999999999999997E-2</v>
      </c>
      <c r="D59">
        <v>5.3699999999999998E-2</v>
      </c>
      <c r="E59">
        <v>1.6000000000000001E-3</v>
      </c>
      <c r="F59">
        <f t="shared" si="0"/>
        <v>9.085741935347551</v>
      </c>
      <c r="G59">
        <f t="shared" si="1"/>
        <v>-11.346612602980548</v>
      </c>
      <c r="H59">
        <f t="shared" si="2"/>
        <v>-1.6000000000000001E-3</v>
      </c>
      <c r="I59">
        <v>1</v>
      </c>
    </row>
    <row r="60" spans="1:9" x14ac:dyDescent="0.25">
      <c r="A60">
        <v>36</v>
      </c>
      <c r="B60">
        <v>37</v>
      </c>
      <c r="C60">
        <v>2.9000000000000001E-2</v>
      </c>
      <c r="D60">
        <v>3.6600000000000001E-2</v>
      </c>
      <c r="E60">
        <v>0</v>
      </c>
      <c r="F60">
        <f t="shared" si="0"/>
        <v>13.299335950398062</v>
      </c>
      <c r="G60">
        <f t="shared" si="1"/>
        <v>-16.784679164985139</v>
      </c>
      <c r="H60">
        <f t="shared" si="2"/>
        <v>0</v>
      </c>
      <c r="I60">
        <v>1</v>
      </c>
    </row>
    <row r="61" spans="1:9" x14ac:dyDescent="0.25">
      <c r="A61">
        <v>36</v>
      </c>
      <c r="B61">
        <v>40</v>
      </c>
      <c r="C61">
        <v>0.03</v>
      </c>
      <c r="D61">
        <v>4.6600000000000003E-2</v>
      </c>
      <c r="E61">
        <v>0</v>
      </c>
      <c r="F61">
        <f t="shared" si="0"/>
        <v>9.7670239226972608</v>
      </c>
      <c r="G61">
        <f t="shared" si="1"/>
        <v>-15.171443826589746</v>
      </c>
      <c r="H61">
        <f t="shared" si="2"/>
        <v>0</v>
      </c>
      <c r="I61">
        <v>1</v>
      </c>
    </row>
    <row r="62" spans="1:9" x14ac:dyDescent="0.25">
      <c r="A62">
        <v>37</v>
      </c>
      <c r="B62">
        <v>38</v>
      </c>
      <c r="C62">
        <v>6.5100000000000005E-2</v>
      </c>
      <c r="D62">
        <v>0.1009</v>
      </c>
      <c r="E62">
        <v>2E-3</v>
      </c>
      <c r="F62">
        <f t="shared" si="0"/>
        <v>4.5149325672974632</v>
      </c>
      <c r="G62">
        <f t="shared" si="1"/>
        <v>-6.9977987102966814</v>
      </c>
      <c r="H62">
        <f t="shared" si="2"/>
        <v>-2E-3</v>
      </c>
      <c r="I62">
        <v>1</v>
      </c>
    </row>
    <row r="63" spans="1:9" x14ac:dyDescent="0.25">
      <c r="A63">
        <v>37</v>
      </c>
      <c r="B63">
        <v>39</v>
      </c>
      <c r="C63">
        <v>2.3900000000000001E-2</v>
      </c>
      <c r="D63">
        <v>3.7900000000000003E-2</v>
      </c>
      <c r="E63">
        <v>0</v>
      </c>
      <c r="F63">
        <f t="shared" si="0"/>
        <v>11.904643308992735</v>
      </c>
      <c r="G63">
        <f t="shared" si="1"/>
        <v>-18.87807453601777</v>
      </c>
      <c r="H63">
        <f t="shared" si="2"/>
        <v>0</v>
      </c>
      <c r="I63">
        <v>1</v>
      </c>
    </row>
    <row r="64" spans="1:9" x14ac:dyDescent="0.25">
      <c r="A64">
        <v>38</v>
      </c>
      <c r="B64">
        <v>44</v>
      </c>
      <c r="C64">
        <v>2.8899999999999999E-2</v>
      </c>
      <c r="D64">
        <v>5.8500000000000003E-2</v>
      </c>
      <c r="E64">
        <v>2E-3</v>
      </c>
      <c r="F64">
        <f t="shared" si="0"/>
        <v>6.7880849144795246</v>
      </c>
      <c r="G64">
        <f t="shared" si="1"/>
        <v>-13.740587110624645</v>
      </c>
      <c r="H64">
        <f t="shared" si="2"/>
        <v>-2E-3</v>
      </c>
      <c r="I64">
        <v>1</v>
      </c>
    </row>
    <row r="65" spans="1:9" x14ac:dyDescent="0.25">
      <c r="A65">
        <v>38</v>
      </c>
      <c r="B65">
        <v>48</v>
      </c>
      <c r="C65">
        <v>3.1199999999999999E-2</v>
      </c>
      <c r="D65">
        <v>4.82E-2</v>
      </c>
      <c r="E65">
        <v>0</v>
      </c>
      <c r="F65">
        <f t="shared" si="0"/>
        <v>9.4640668794059479</v>
      </c>
      <c r="G65">
        <f t="shared" si="1"/>
        <v>-14.620769986774574</v>
      </c>
      <c r="H65">
        <f t="shared" si="2"/>
        <v>0</v>
      </c>
      <c r="I65">
        <v>1</v>
      </c>
    </row>
    <row r="66" spans="1:9" x14ac:dyDescent="0.25">
      <c r="A66">
        <v>38</v>
      </c>
      <c r="B66">
        <v>49</v>
      </c>
      <c r="C66">
        <v>0.115</v>
      </c>
      <c r="D66">
        <v>0.17699999999999999</v>
      </c>
      <c r="E66">
        <v>3.0000000000000001E-3</v>
      </c>
      <c r="F66">
        <f t="shared" si="0"/>
        <v>2.5811374960721825</v>
      </c>
      <c r="G66">
        <f t="shared" si="1"/>
        <v>-3.9727072765632716</v>
      </c>
      <c r="H66">
        <f t="shared" si="2"/>
        <v>-3.0000000000000001E-3</v>
      </c>
      <c r="I66">
        <v>1</v>
      </c>
    </row>
    <row r="67" spans="1:9" x14ac:dyDescent="0.25">
      <c r="A67">
        <v>39</v>
      </c>
      <c r="B67">
        <v>57</v>
      </c>
      <c r="C67">
        <v>0</v>
      </c>
      <c r="D67">
        <v>1.355</v>
      </c>
      <c r="E67">
        <v>0</v>
      </c>
      <c r="F67">
        <f t="shared" si="0"/>
        <v>0</v>
      </c>
      <c r="G67">
        <f t="shared" si="1"/>
        <v>-0.73800738007380073</v>
      </c>
      <c r="H67">
        <f t="shared" si="2"/>
        <v>0</v>
      </c>
      <c r="I67">
        <v>1</v>
      </c>
    </row>
    <row r="68" spans="1:9" x14ac:dyDescent="0.25">
      <c r="A68">
        <v>40</v>
      </c>
      <c r="B68">
        <v>56</v>
      </c>
      <c r="C68">
        <v>0</v>
      </c>
      <c r="D68">
        <v>1.1950000000000001</v>
      </c>
      <c r="E68">
        <v>0</v>
      </c>
      <c r="F68">
        <f t="shared" ref="F68:F82" si="3">C68/(C68^2+D68^2)</f>
        <v>0</v>
      </c>
      <c r="G68">
        <f t="shared" ref="G68:G82" si="4">-D68/(C68^2+D68^2)</f>
        <v>-0.83682008368200833</v>
      </c>
      <c r="H68">
        <f t="shared" ref="H68:H82" si="5">-E68</f>
        <v>0</v>
      </c>
      <c r="I68">
        <v>1</v>
      </c>
    </row>
    <row r="69" spans="1:9" x14ac:dyDescent="0.25">
      <c r="A69">
        <v>41</v>
      </c>
      <c r="B69">
        <v>42</v>
      </c>
      <c r="C69">
        <v>0.20699999999999999</v>
      </c>
      <c r="D69">
        <v>0.35199999999999998</v>
      </c>
      <c r="E69">
        <v>0</v>
      </c>
      <c r="F69">
        <f t="shared" si="3"/>
        <v>1.2413569770858697</v>
      </c>
      <c r="G69">
        <f t="shared" si="4"/>
        <v>-2.1109065504068893</v>
      </c>
      <c r="H69">
        <f t="shared" si="5"/>
        <v>0</v>
      </c>
      <c r="I69">
        <v>1</v>
      </c>
    </row>
    <row r="70" spans="1:9" x14ac:dyDescent="0.25">
      <c r="A70">
        <v>41</v>
      </c>
      <c r="B70">
        <v>43</v>
      </c>
      <c r="C70">
        <v>0</v>
      </c>
      <c r="D70">
        <v>0.41199999999999998</v>
      </c>
      <c r="E70">
        <v>0</v>
      </c>
      <c r="F70">
        <f t="shared" si="3"/>
        <v>0</v>
      </c>
      <c r="G70">
        <f t="shared" si="4"/>
        <v>-2.4271844660194177</v>
      </c>
      <c r="H70">
        <f t="shared" si="5"/>
        <v>0</v>
      </c>
      <c r="I70">
        <v>1</v>
      </c>
    </row>
    <row r="71" spans="1:9" x14ac:dyDescent="0.25">
      <c r="A71">
        <v>56</v>
      </c>
      <c r="B71">
        <v>41</v>
      </c>
      <c r="C71">
        <v>0.55300000000000005</v>
      </c>
      <c r="D71">
        <v>0.54900000000000004</v>
      </c>
      <c r="E71">
        <v>0</v>
      </c>
      <c r="F71">
        <f t="shared" si="3"/>
        <v>0.91072281418290213</v>
      </c>
      <c r="G71">
        <f t="shared" si="4"/>
        <v>-0.90413530738953574</v>
      </c>
      <c r="H71">
        <f t="shared" si="5"/>
        <v>0</v>
      </c>
      <c r="I71">
        <v>1</v>
      </c>
    </row>
    <row r="72" spans="1:9" x14ac:dyDescent="0.25">
      <c r="A72">
        <v>56</v>
      </c>
      <c r="B72">
        <v>42</v>
      </c>
      <c r="C72">
        <v>0.21249999999999999</v>
      </c>
      <c r="D72">
        <v>0.35399999999999998</v>
      </c>
      <c r="E72">
        <v>0</v>
      </c>
      <c r="F72">
        <f t="shared" si="3"/>
        <v>1.2465371930035534</v>
      </c>
      <c r="G72">
        <f t="shared" si="4"/>
        <v>-2.0765843121094489</v>
      </c>
      <c r="H72">
        <f t="shared" si="5"/>
        <v>0</v>
      </c>
      <c r="I72">
        <v>1</v>
      </c>
    </row>
    <row r="73" spans="1:9" x14ac:dyDescent="0.25">
      <c r="A73">
        <v>44</v>
      </c>
      <c r="B73">
        <v>45</v>
      </c>
      <c r="C73">
        <v>6.2399999999999997E-2</v>
      </c>
      <c r="D73">
        <v>0.1242</v>
      </c>
      <c r="E73">
        <v>4.0000000000000001E-3</v>
      </c>
      <c r="F73">
        <f t="shared" si="3"/>
        <v>3.2299139724836174</v>
      </c>
      <c r="G73">
        <f t="shared" si="4"/>
        <v>-6.4287710798472002</v>
      </c>
      <c r="H73">
        <f t="shared" si="5"/>
        <v>-4.0000000000000001E-3</v>
      </c>
      <c r="I73">
        <v>1</v>
      </c>
    </row>
    <row r="74" spans="1:9" x14ac:dyDescent="0.25">
      <c r="A74">
        <v>46</v>
      </c>
      <c r="B74">
        <v>47</v>
      </c>
      <c r="C74">
        <v>2.3E-2</v>
      </c>
      <c r="D74">
        <v>6.8000000000000005E-2</v>
      </c>
      <c r="E74">
        <v>3.2000000000000002E-3</v>
      </c>
      <c r="F74">
        <f t="shared" si="3"/>
        <v>4.4634193673588198</v>
      </c>
      <c r="G74">
        <f t="shared" si="4"/>
        <v>-13.196196390452164</v>
      </c>
      <c r="H74">
        <f t="shared" si="5"/>
        <v>-3.2000000000000002E-3</v>
      </c>
      <c r="I74">
        <v>1</v>
      </c>
    </row>
    <row r="75" spans="1:9" x14ac:dyDescent="0.25">
      <c r="A75">
        <v>47</v>
      </c>
      <c r="B75">
        <v>48</v>
      </c>
      <c r="C75">
        <v>1.8200000000000001E-2</v>
      </c>
      <c r="D75">
        <v>2.3300000000000001E-2</v>
      </c>
      <c r="E75">
        <v>0</v>
      </c>
      <c r="F75">
        <f t="shared" si="3"/>
        <v>20.820701726287851</v>
      </c>
      <c r="G75">
        <f t="shared" si="4"/>
        <v>-26.655074188049831</v>
      </c>
      <c r="H75">
        <f t="shared" si="5"/>
        <v>0</v>
      </c>
      <c r="I75">
        <v>1</v>
      </c>
    </row>
    <row r="76" spans="1:9" x14ac:dyDescent="0.25">
      <c r="A76">
        <v>48</v>
      </c>
      <c r="B76">
        <v>49</v>
      </c>
      <c r="C76">
        <v>8.3400000000000002E-2</v>
      </c>
      <c r="D76">
        <v>0.129</v>
      </c>
      <c r="E76">
        <v>4.7999999999999996E-3</v>
      </c>
      <c r="F76">
        <f t="shared" si="3"/>
        <v>3.5344134907800124</v>
      </c>
      <c r="G76">
        <f t="shared" si="4"/>
        <v>-5.4668985648755584</v>
      </c>
      <c r="H76">
        <f t="shared" si="5"/>
        <v>-4.7999999999999996E-3</v>
      </c>
      <c r="I76">
        <v>1</v>
      </c>
    </row>
    <row r="77" spans="1:9" x14ac:dyDescent="0.25">
      <c r="A77">
        <v>49</v>
      </c>
      <c r="B77">
        <v>50</v>
      </c>
      <c r="C77">
        <v>8.0100000000000005E-2</v>
      </c>
      <c r="D77">
        <v>0.128</v>
      </c>
      <c r="E77">
        <v>0</v>
      </c>
      <c r="F77">
        <f t="shared" si="3"/>
        <v>3.5131563538787924</v>
      </c>
      <c r="G77">
        <f t="shared" si="4"/>
        <v>-5.6140326254242874</v>
      </c>
      <c r="H77">
        <f t="shared" si="5"/>
        <v>0</v>
      </c>
      <c r="I77">
        <v>1</v>
      </c>
    </row>
    <row r="78" spans="1:9" x14ac:dyDescent="0.25">
      <c r="A78">
        <v>50</v>
      </c>
      <c r="B78">
        <v>51</v>
      </c>
      <c r="C78">
        <v>0.1386</v>
      </c>
      <c r="D78">
        <v>0.22</v>
      </c>
      <c r="E78">
        <v>0</v>
      </c>
      <c r="F78">
        <f t="shared" si="3"/>
        <v>2.0499938174789634</v>
      </c>
      <c r="G78">
        <f t="shared" si="4"/>
        <v>-3.253958440442799</v>
      </c>
      <c r="H78">
        <f t="shared" si="5"/>
        <v>0</v>
      </c>
      <c r="I78">
        <v>1</v>
      </c>
    </row>
    <row r="79" spans="1:9" x14ac:dyDescent="0.25">
      <c r="A79">
        <v>52</v>
      </c>
      <c r="B79">
        <v>53</v>
      </c>
      <c r="C79">
        <v>7.6200000000000004E-2</v>
      </c>
      <c r="D79">
        <v>9.8400000000000001E-2</v>
      </c>
      <c r="E79">
        <v>0</v>
      </c>
      <c r="F79">
        <f t="shared" si="3"/>
        <v>4.919620375750533</v>
      </c>
      <c r="G79">
        <f t="shared" si="4"/>
        <v>-6.3528956033313966</v>
      </c>
      <c r="H79">
        <f t="shared" si="5"/>
        <v>0</v>
      </c>
      <c r="I79">
        <v>1</v>
      </c>
    </row>
    <row r="80" spans="1:9" x14ac:dyDescent="0.25">
      <c r="A80">
        <v>53</v>
      </c>
      <c r="B80">
        <v>54</v>
      </c>
      <c r="C80">
        <v>0.18779999999999999</v>
      </c>
      <c r="D80">
        <v>0.23200000000000001</v>
      </c>
      <c r="E80">
        <v>0</v>
      </c>
      <c r="F80">
        <f t="shared" si="3"/>
        <v>2.1079134978748009</v>
      </c>
      <c r="G80">
        <f t="shared" si="4"/>
        <v>-2.6040251943927255</v>
      </c>
      <c r="H80">
        <f t="shared" si="5"/>
        <v>0</v>
      </c>
      <c r="I80">
        <v>1</v>
      </c>
    </row>
    <row r="81" spans="1:9" x14ac:dyDescent="0.25">
      <c r="A81">
        <v>54</v>
      </c>
      <c r="B81">
        <v>55</v>
      </c>
      <c r="C81">
        <v>0.17319999999999999</v>
      </c>
      <c r="D81">
        <v>0.22650000000000001</v>
      </c>
      <c r="E81">
        <v>0</v>
      </c>
      <c r="F81">
        <f t="shared" si="3"/>
        <v>2.1303684639539071</v>
      </c>
      <c r="G81">
        <f t="shared" si="4"/>
        <v>-2.7859610686233256</v>
      </c>
      <c r="H81">
        <f t="shared" si="5"/>
        <v>0</v>
      </c>
      <c r="I81">
        <v>1</v>
      </c>
    </row>
    <row r="82" spans="1:9" x14ac:dyDescent="0.25">
      <c r="A82">
        <v>57</v>
      </c>
      <c r="B82">
        <v>56</v>
      </c>
      <c r="C82">
        <v>0.17399999999999999</v>
      </c>
      <c r="D82">
        <v>0.26</v>
      </c>
      <c r="E82">
        <v>0</v>
      </c>
      <c r="F82">
        <f t="shared" si="3"/>
        <v>1.7777596142057295</v>
      </c>
      <c r="G82">
        <f t="shared" si="4"/>
        <v>-2.6564224120315503</v>
      </c>
      <c r="H82">
        <f t="shared" si="5"/>
        <v>0</v>
      </c>
      <c r="I8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F58"/>
  <sheetViews>
    <sheetView topLeftCell="Y1" workbookViewId="0">
      <selection activeCell="B2" sqref="B2:BF58"/>
    </sheetView>
  </sheetViews>
  <sheetFormatPr defaultRowHeight="15" x14ac:dyDescent="0.25"/>
  <sheetData>
    <row r="1" spans="1:58" x14ac:dyDescent="0.25">
      <c r="B1">
        <v>1</v>
      </c>
      <c r="C1">
        <f>B1+1</f>
        <v>2</v>
      </c>
      <c r="D1">
        <f t="shared" ref="D1:BF1" si="0">C1+1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 t="shared" si="0"/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 t="shared" si="0"/>
        <v>24</v>
      </c>
      <c r="Z1">
        <f t="shared" si="0"/>
        <v>25</v>
      </c>
      <c r="AA1">
        <f t="shared" si="0"/>
        <v>26</v>
      </c>
      <c r="AB1">
        <f t="shared" si="0"/>
        <v>27</v>
      </c>
      <c r="AC1">
        <f t="shared" si="0"/>
        <v>28</v>
      </c>
      <c r="AD1">
        <f t="shared" si="0"/>
        <v>29</v>
      </c>
      <c r="AE1">
        <f t="shared" si="0"/>
        <v>30</v>
      </c>
      <c r="AF1">
        <f t="shared" si="0"/>
        <v>31</v>
      </c>
      <c r="AG1">
        <f>AF1+1</f>
        <v>32</v>
      </c>
      <c r="AH1">
        <f t="shared" si="0"/>
        <v>33</v>
      </c>
      <c r="AI1">
        <f t="shared" si="0"/>
        <v>34</v>
      </c>
      <c r="AJ1">
        <f t="shared" si="0"/>
        <v>35</v>
      </c>
      <c r="AK1">
        <f t="shared" si="0"/>
        <v>36</v>
      </c>
      <c r="AL1">
        <f t="shared" si="0"/>
        <v>37</v>
      </c>
      <c r="AM1">
        <f t="shared" si="0"/>
        <v>38</v>
      </c>
      <c r="AN1">
        <f t="shared" si="0"/>
        <v>39</v>
      </c>
      <c r="AO1">
        <f t="shared" si="0"/>
        <v>40</v>
      </c>
      <c r="AP1">
        <f t="shared" si="0"/>
        <v>41</v>
      </c>
      <c r="AQ1">
        <f t="shared" si="0"/>
        <v>42</v>
      </c>
      <c r="AR1">
        <f t="shared" si="0"/>
        <v>43</v>
      </c>
      <c r="AS1">
        <f t="shared" si="0"/>
        <v>44</v>
      </c>
      <c r="AT1">
        <f t="shared" si="0"/>
        <v>45</v>
      </c>
      <c r="AU1">
        <f t="shared" si="0"/>
        <v>46</v>
      </c>
      <c r="AV1">
        <f t="shared" si="0"/>
        <v>47</v>
      </c>
      <c r="AW1">
        <f t="shared" si="0"/>
        <v>48</v>
      </c>
      <c r="AX1">
        <f t="shared" si="0"/>
        <v>49</v>
      </c>
      <c r="AY1">
        <f t="shared" si="0"/>
        <v>50</v>
      </c>
      <c r="AZ1">
        <f t="shared" si="0"/>
        <v>51</v>
      </c>
      <c r="BA1">
        <f t="shared" si="0"/>
        <v>52</v>
      </c>
      <c r="BB1">
        <f t="shared" si="0"/>
        <v>53</v>
      </c>
      <c r="BC1">
        <f t="shared" si="0"/>
        <v>54</v>
      </c>
      <c r="BD1">
        <f t="shared" si="0"/>
        <v>55</v>
      </c>
      <c r="BE1">
        <f t="shared" si="0"/>
        <v>56</v>
      </c>
      <c r="BF1">
        <f t="shared" si="0"/>
        <v>57</v>
      </c>
    </row>
    <row r="2" spans="1:58" x14ac:dyDescent="0.25">
      <c r="A2">
        <v>1</v>
      </c>
      <c r="B2">
        <v>0</v>
      </c>
      <c r="C2">
        <v>9.7316183798614126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2.0702874210266762</v>
      </c>
      <c r="Q2">
        <v>1.0202898342276228</v>
      </c>
      <c r="R2">
        <v>1.9459643316184867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</row>
    <row r="3" spans="1:58" x14ac:dyDescent="0.25">
      <c r="A3">
        <f>A2+1</f>
        <v>2</v>
      </c>
      <c r="B3">
        <v>9.7316183798614126</v>
      </c>
      <c r="C3">
        <v>0</v>
      </c>
      <c r="D3">
        <v>3.673099109581611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</row>
    <row r="4" spans="1:58" x14ac:dyDescent="0.25">
      <c r="A4">
        <f t="shared" ref="A4:A58" si="1">A3+1</f>
        <v>3</v>
      </c>
      <c r="B4">
        <v>0</v>
      </c>
      <c r="C4">
        <v>3.673099109581611</v>
      </c>
      <c r="D4">
        <v>0</v>
      </c>
      <c r="E4">
        <v>7.6450511945392483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5.2743989789805434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</row>
    <row r="5" spans="1:58" x14ac:dyDescent="0.25">
      <c r="A5">
        <f t="shared" si="1"/>
        <v>4</v>
      </c>
      <c r="B5">
        <v>0</v>
      </c>
      <c r="C5">
        <v>0</v>
      </c>
      <c r="D5">
        <v>7.6450511945392483</v>
      </c>
      <c r="E5">
        <v>0</v>
      </c>
      <c r="F5">
        <v>2.9301109926043996</v>
      </c>
      <c r="G5">
        <v>1.8102976466130596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</row>
    <row r="6" spans="1:58" x14ac:dyDescent="0.25">
      <c r="A6">
        <f t="shared" si="1"/>
        <v>5</v>
      </c>
      <c r="B6">
        <v>0</v>
      </c>
      <c r="C6">
        <v>0</v>
      </c>
      <c r="D6">
        <v>0</v>
      </c>
      <c r="E6">
        <v>2.9301109926043996</v>
      </c>
      <c r="F6">
        <v>0</v>
      </c>
      <c r="G6">
        <v>6.0149177928040061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</row>
    <row r="7" spans="1:58" x14ac:dyDescent="0.25">
      <c r="A7">
        <f t="shared" si="1"/>
        <v>6</v>
      </c>
      <c r="B7">
        <v>0</v>
      </c>
      <c r="C7">
        <v>0</v>
      </c>
      <c r="D7">
        <v>0</v>
      </c>
      <c r="E7">
        <v>1.8102976466130596</v>
      </c>
      <c r="F7">
        <v>6.0149177928040061</v>
      </c>
      <c r="G7">
        <v>0</v>
      </c>
      <c r="H7">
        <v>1.851166234727879</v>
      </c>
      <c r="I7">
        <v>1.0907964133069441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</row>
    <row r="8" spans="1:58" x14ac:dyDescent="0.25">
      <c r="A8">
        <f t="shared" si="1"/>
        <v>7</v>
      </c>
      <c r="B8">
        <v>0</v>
      </c>
      <c r="C8">
        <v>0</v>
      </c>
      <c r="D8">
        <v>0</v>
      </c>
      <c r="E8">
        <v>0</v>
      </c>
      <c r="F8">
        <v>0</v>
      </c>
      <c r="G8">
        <v>1.851166234727879</v>
      </c>
      <c r="H8">
        <v>0</v>
      </c>
      <c r="I8">
        <v>2.6412548810960259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</row>
    <row r="9" spans="1:58" x14ac:dyDescent="0.25">
      <c r="A9">
        <f t="shared" si="1"/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1.0907964133069441</v>
      </c>
      <c r="H9">
        <v>2.6412548810960259</v>
      </c>
      <c r="I9">
        <v>0</v>
      </c>
      <c r="J9">
        <v>3.7383036408811821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</row>
    <row r="10" spans="1:58" x14ac:dyDescent="0.25">
      <c r="A10">
        <f t="shared" si="1"/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3.7383036408811821</v>
      </c>
      <c r="J10">
        <v>0</v>
      </c>
      <c r="K10">
        <v>1.2486456086589006</v>
      </c>
      <c r="L10">
        <v>3.283829811065234</v>
      </c>
      <c r="M10">
        <v>0.71033907290227449</v>
      </c>
      <c r="N10">
        <v>1.7633509680650172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</row>
    <row r="11" spans="1:58" x14ac:dyDescent="0.25">
      <c r="A11">
        <f t="shared" si="1"/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1.2486456086589006</v>
      </c>
      <c r="K11">
        <v>0</v>
      </c>
      <c r="L11">
        <v>0</v>
      </c>
      <c r="M11">
        <v>1.6593056195349989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</row>
    <row r="12" spans="1:58" x14ac:dyDescent="0.25">
      <c r="A12">
        <f t="shared" si="1"/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3.283829811065234</v>
      </c>
      <c r="K12">
        <v>0</v>
      </c>
      <c r="L12">
        <v>0</v>
      </c>
      <c r="M12">
        <v>0</v>
      </c>
      <c r="N12">
        <v>3.8083657670612223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</row>
    <row r="13" spans="1:58" x14ac:dyDescent="0.25">
      <c r="A13">
        <f t="shared" si="1"/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0.71033907290227449</v>
      </c>
      <c r="K13">
        <v>1.6593056195349989</v>
      </c>
      <c r="L13">
        <v>0</v>
      </c>
      <c r="M13">
        <v>0</v>
      </c>
      <c r="N13">
        <v>4.8358526857999804</v>
      </c>
      <c r="O13">
        <v>0</v>
      </c>
      <c r="P13">
        <v>0</v>
      </c>
      <c r="Q13">
        <v>2.5960203008787528</v>
      </c>
      <c r="R13">
        <v>1.1809469528742671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</row>
    <row r="14" spans="1:58" x14ac:dyDescent="0.25">
      <c r="A14">
        <f t="shared" si="1"/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1.7633509680650172</v>
      </c>
      <c r="K14">
        <v>0</v>
      </c>
      <c r="L14">
        <v>3.8083657670612223</v>
      </c>
      <c r="M14">
        <v>4.8358526857999804</v>
      </c>
      <c r="N14">
        <v>0</v>
      </c>
      <c r="O14">
        <v>6.4146175527262113</v>
      </c>
      <c r="P14">
        <v>3.2506688643927286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</row>
    <row r="15" spans="1:58" x14ac:dyDescent="0.25">
      <c r="A15">
        <f t="shared" si="1"/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6.4146175527262113</v>
      </c>
      <c r="O15">
        <v>0</v>
      </c>
      <c r="P15">
        <v>5.2062718830872283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</row>
    <row r="16" spans="1:58" x14ac:dyDescent="0.25">
      <c r="A16">
        <f t="shared" si="1"/>
        <v>15</v>
      </c>
      <c r="B16">
        <v>2.0702874210266762</v>
      </c>
      <c r="C16">
        <v>0</v>
      </c>
      <c r="D16">
        <v>5.2743989789805434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3.2506688643927286</v>
      </c>
      <c r="O16">
        <v>5.2062718830872283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</row>
    <row r="17" spans="1:58" x14ac:dyDescent="0.25">
      <c r="A17">
        <f t="shared" si="1"/>
        <v>16</v>
      </c>
      <c r="B17">
        <v>1.0202898342276228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2.5960203008787528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</row>
    <row r="18" spans="1:58" x14ac:dyDescent="0.25">
      <c r="A18">
        <f t="shared" si="1"/>
        <v>17</v>
      </c>
      <c r="B18">
        <v>1.9459643316184867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1.1809469528742671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</row>
    <row r="19" spans="1:58" x14ac:dyDescent="0.25">
      <c r="A19">
        <f t="shared" si="1"/>
        <v>18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0.67620492089429196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</row>
    <row r="20" spans="1:58" x14ac:dyDescent="0.25">
      <c r="A20">
        <f t="shared" si="1"/>
        <v>19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0.67620492089429196</v>
      </c>
      <c r="T20">
        <v>0</v>
      </c>
      <c r="U20">
        <v>1.0542196725586246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</row>
    <row r="21" spans="1:58" x14ac:dyDescent="0.25">
      <c r="A21">
        <f t="shared" si="1"/>
        <v>20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1.0542196725586246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</row>
    <row r="22" spans="1:58" x14ac:dyDescent="0.25">
      <c r="A22">
        <f t="shared" si="1"/>
        <v>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3.8522010932714186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</row>
    <row r="23" spans="1:58" x14ac:dyDescent="0.25">
      <c r="A23">
        <f t="shared" si="1"/>
        <v>22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3.8522010932714186</v>
      </c>
      <c r="W23">
        <v>0</v>
      </c>
      <c r="X23">
        <v>30.086612976751255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15.497743948211706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</row>
    <row r="24" spans="1:58" x14ac:dyDescent="0.25">
      <c r="A24">
        <f t="shared" si="1"/>
        <v>23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30.086612976751255</v>
      </c>
      <c r="X24">
        <v>0</v>
      </c>
      <c r="Y24">
        <v>1.7831822283332617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</row>
    <row r="25" spans="1:58" x14ac:dyDescent="0.25">
      <c r="A25">
        <f t="shared" si="1"/>
        <v>24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1.7831822283332617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</row>
    <row r="26" spans="1:58" x14ac:dyDescent="0.25">
      <c r="A26">
        <f t="shared" si="1"/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2.2870114689389958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</row>
    <row r="27" spans="1:58" x14ac:dyDescent="0.25">
      <c r="A27">
        <f t="shared" si="1"/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1.7985415463097199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</row>
    <row r="28" spans="1:58" x14ac:dyDescent="0.25">
      <c r="A28">
        <f t="shared" si="1"/>
        <v>27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1.7985415463097199</v>
      </c>
      <c r="AB28">
        <v>0</v>
      </c>
      <c r="AC28">
        <v>4.7831336491130303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</row>
    <row r="29" spans="1:58" x14ac:dyDescent="0.25">
      <c r="A29">
        <f t="shared" si="1"/>
        <v>28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4.7831336491130303</v>
      </c>
      <c r="AC29">
        <v>0</v>
      </c>
      <c r="AD29">
        <v>8.0494056341988038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</row>
    <row r="30" spans="1:58" x14ac:dyDescent="0.25">
      <c r="A30">
        <f t="shared" si="1"/>
        <v>29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8.0494056341988038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2.5859607794752901</v>
      </c>
      <c r="BB30">
        <v>0</v>
      </c>
      <c r="BC30">
        <v>0</v>
      </c>
      <c r="BD30">
        <v>0</v>
      </c>
      <c r="BE30">
        <v>0</v>
      </c>
      <c r="BF30">
        <v>0</v>
      </c>
    </row>
    <row r="31" spans="1:58" x14ac:dyDescent="0.25">
      <c r="A31">
        <f t="shared" si="1"/>
        <v>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2.2870114689389958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0.92276773709611215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</row>
    <row r="32" spans="1:58" x14ac:dyDescent="0.25">
      <c r="A32">
        <f t="shared" si="1"/>
        <v>31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0.92276773709611215</v>
      </c>
      <c r="AF32">
        <v>0</v>
      </c>
      <c r="AG32">
        <v>0.61300439863905765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</row>
    <row r="33" spans="1:58" x14ac:dyDescent="0.25">
      <c r="A33">
        <f t="shared" si="1"/>
        <v>32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0.61300439863905765</v>
      </c>
      <c r="AG33">
        <v>0</v>
      </c>
      <c r="AH33">
        <v>13.838680524175327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</row>
    <row r="34" spans="1:58" x14ac:dyDescent="0.25">
      <c r="A34">
        <f t="shared" si="1"/>
        <v>33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13.838680524175327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</row>
    <row r="35" spans="1:58" x14ac:dyDescent="0.25">
      <c r="A35">
        <f t="shared" si="1"/>
        <v>34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5.9171597633136086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</row>
    <row r="36" spans="1:58" x14ac:dyDescent="0.25">
      <c r="A36">
        <f t="shared" si="1"/>
        <v>35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5.9171597633136086</v>
      </c>
      <c r="AJ36">
        <v>0</v>
      </c>
      <c r="AK36">
        <v>9.085741935347551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</row>
    <row r="37" spans="1:58" x14ac:dyDescent="0.25">
      <c r="A37">
        <f t="shared" si="1"/>
        <v>36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9.085741935347551</v>
      </c>
      <c r="AK37">
        <v>0</v>
      </c>
      <c r="AL37">
        <v>13.299335950398062</v>
      </c>
      <c r="AM37">
        <v>0</v>
      </c>
      <c r="AN37">
        <v>0</v>
      </c>
      <c r="AO37">
        <v>9.7670239226972608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</row>
    <row r="38" spans="1:58" x14ac:dyDescent="0.25">
      <c r="A38">
        <f t="shared" si="1"/>
        <v>37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13.299335950398062</v>
      </c>
      <c r="AL38">
        <v>0</v>
      </c>
      <c r="AM38">
        <v>4.5149325672974632</v>
      </c>
      <c r="AN38">
        <v>11.904643308992735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</row>
    <row r="39" spans="1:58" x14ac:dyDescent="0.25">
      <c r="A39">
        <f t="shared" si="1"/>
        <v>38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15.497743948211706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4.5149325672974632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6.7880849144795246</v>
      </c>
      <c r="AT39">
        <v>0</v>
      </c>
      <c r="AU39">
        <v>0</v>
      </c>
      <c r="AV39">
        <v>0</v>
      </c>
      <c r="AW39">
        <v>9.4640668794059479</v>
      </c>
      <c r="AX39">
        <v>2.5811374960721825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</row>
    <row r="40" spans="1:58" x14ac:dyDescent="0.25">
      <c r="A40">
        <f t="shared" si="1"/>
        <v>39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11.904643308992735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</row>
    <row r="41" spans="1:58" x14ac:dyDescent="0.25">
      <c r="A41">
        <f t="shared" si="1"/>
        <v>40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9.7670239226972608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</row>
    <row r="42" spans="1:58" x14ac:dyDescent="0.25">
      <c r="A42">
        <f t="shared" si="1"/>
        <v>41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1.2413569770858697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0.91072281418290213</v>
      </c>
      <c r="BF42">
        <v>0</v>
      </c>
    </row>
    <row r="43" spans="1:58" x14ac:dyDescent="0.25">
      <c r="A43">
        <f t="shared" si="1"/>
        <v>42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1.2413569770858697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1.2465371930035534</v>
      </c>
      <c r="BF43">
        <v>0</v>
      </c>
    </row>
    <row r="44" spans="1:58" x14ac:dyDescent="0.25">
      <c r="A44">
        <f t="shared" si="1"/>
        <v>43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</row>
    <row r="45" spans="1:58" x14ac:dyDescent="0.25">
      <c r="A45">
        <f t="shared" si="1"/>
        <v>44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6.7880849144795246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3.2299139724836174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</row>
    <row r="46" spans="1:58" x14ac:dyDescent="0.25">
      <c r="A46">
        <f t="shared" si="1"/>
        <v>45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3.2299139724836174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</row>
    <row r="47" spans="1:58" x14ac:dyDescent="0.25">
      <c r="A47">
        <f t="shared" si="1"/>
        <v>46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4.4634193673588198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</row>
    <row r="48" spans="1:58" x14ac:dyDescent="0.25">
      <c r="A48">
        <f t="shared" si="1"/>
        <v>47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4.4634193673588198</v>
      </c>
      <c r="AV48">
        <v>0</v>
      </c>
      <c r="AW48">
        <v>20.820701726287851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</row>
    <row r="49" spans="1:58" x14ac:dyDescent="0.25">
      <c r="A49">
        <f t="shared" si="1"/>
        <v>48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9.4640668794059479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20.820701726287851</v>
      </c>
      <c r="AW49">
        <v>0</v>
      </c>
      <c r="AX49">
        <v>3.5344134907800124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</row>
    <row r="50" spans="1:58" x14ac:dyDescent="0.25">
      <c r="A50">
        <f t="shared" si="1"/>
        <v>49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2.5811374960721825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3.5344134907800124</v>
      </c>
      <c r="AX50">
        <v>0</v>
      </c>
      <c r="AY50">
        <v>3.5131563538787924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</row>
    <row r="51" spans="1:58" x14ac:dyDescent="0.25">
      <c r="A51">
        <f t="shared" si="1"/>
        <v>50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3.5131563538787924</v>
      </c>
      <c r="AY51">
        <v>0</v>
      </c>
      <c r="AZ51">
        <v>2.0499938174789634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</row>
    <row r="52" spans="1:58" x14ac:dyDescent="0.25">
      <c r="A52">
        <f t="shared" si="1"/>
        <v>51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2.0499938174789634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</row>
    <row r="53" spans="1:58" x14ac:dyDescent="0.25">
      <c r="A53">
        <f t="shared" si="1"/>
        <v>52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2.5859607794752901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4.919620375750533</v>
      </c>
      <c r="BC53">
        <v>0</v>
      </c>
      <c r="BD53">
        <v>0</v>
      </c>
      <c r="BE53">
        <v>0</v>
      </c>
      <c r="BF53">
        <v>0</v>
      </c>
    </row>
    <row r="54" spans="1:58" x14ac:dyDescent="0.25">
      <c r="A54">
        <f t="shared" si="1"/>
        <v>53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4.919620375750533</v>
      </c>
      <c r="BB54">
        <v>0</v>
      </c>
      <c r="BC54">
        <v>2.1079134978748009</v>
      </c>
      <c r="BD54">
        <v>0</v>
      </c>
      <c r="BE54">
        <v>0</v>
      </c>
      <c r="BF54">
        <v>0</v>
      </c>
    </row>
    <row r="55" spans="1:58" x14ac:dyDescent="0.25">
      <c r="A55">
        <f t="shared" si="1"/>
        <v>54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2.1079134978748009</v>
      </c>
      <c r="BC55">
        <v>0</v>
      </c>
      <c r="BD55">
        <v>2.1303684639539071</v>
      </c>
      <c r="BE55">
        <v>0</v>
      </c>
      <c r="BF55">
        <v>0</v>
      </c>
    </row>
    <row r="56" spans="1:58" x14ac:dyDescent="0.25">
      <c r="A56">
        <f t="shared" si="1"/>
        <v>55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2.1303684639539071</v>
      </c>
      <c r="BD56">
        <v>0</v>
      </c>
      <c r="BE56">
        <v>0</v>
      </c>
      <c r="BF56">
        <v>0</v>
      </c>
    </row>
    <row r="57" spans="1:58" x14ac:dyDescent="0.25">
      <c r="A57">
        <f t="shared" si="1"/>
        <v>56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0.91072281418290213</v>
      </c>
      <c r="AQ57">
        <v>1.2465371930035534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1.7777596142057295</v>
      </c>
    </row>
    <row r="58" spans="1:58" x14ac:dyDescent="0.25">
      <c r="A58">
        <f t="shared" si="1"/>
        <v>57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1.7777596142057295</v>
      </c>
      <c r="BF58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F58"/>
  <sheetViews>
    <sheetView workbookViewId="0">
      <selection activeCell="B2" sqref="B2:BF58"/>
    </sheetView>
  </sheetViews>
  <sheetFormatPr defaultRowHeight="15" x14ac:dyDescent="0.25"/>
  <sheetData>
    <row r="1" spans="1:58" x14ac:dyDescent="0.25">
      <c r="B1">
        <v>1</v>
      </c>
      <c r="C1">
        <f>B1+1</f>
        <v>2</v>
      </c>
      <c r="D1">
        <f t="shared" ref="D1:BF1" si="0">C1+1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 t="shared" si="0"/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 t="shared" si="0"/>
        <v>24</v>
      </c>
      <c r="Z1">
        <f t="shared" si="0"/>
        <v>25</v>
      </c>
      <c r="AA1">
        <f t="shared" si="0"/>
        <v>26</v>
      </c>
      <c r="AB1">
        <f t="shared" si="0"/>
        <v>27</v>
      </c>
      <c r="AC1">
        <f t="shared" si="0"/>
        <v>28</v>
      </c>
      <c r="AD1">
        <f t="shared" si="0"/>
        <v>29</v>
      </c>
      <c r="AE1">
        <f t="shared" si="0"/>
        <v>30</v>
      </c>
      <c r="AF1">
        <f t="shared" si="0"/>
        <v>31</v>
      </c>
      <c r="AG1">
        <f t="shared" si="0"/>
        <v>32</v>
      </c>
      <c r="AH1">
        <f t="shared" si="0"/>
        <v>33</v>
      </c>
      <c r="AI1">
        <f t="shared" si="0"/>
        <v>34</v>
      </c>
      <c r="AJ1">
        <f t="shared" si="0"/>
        <v>35</v>
      </c>
      <c r="AK1">
        <f t="shared" si="0"/>
        <v>36</v>
      </c>
      <c r="AL1">
        <f t="shared" si="0"/>
        <v>37</v>
      </c>
      <c r="AM1">
        <f t="shared" si="0"/>
        <v>38</v>
      </c>
      <c r="AN1">
        <f t="shared" si="0"/>
        <v>39</v>
      </c>
      <c r="AO1">
        <f t="shared" si="0"/>
        <v>40</v>
      </c>
      <c r="AP1">
        <f t="shared" si="0"/>
        <v>41</v>
      </c>
      <c r="AQ1">
        <f t="shared" si="0"/>
        <v>42</v>
      </c>
      <c r="AR1">
        <f t="shared" si="0"/>
        <v>43</v>
      </c>
      <c r="AS1">
        <f t="shared" si="0"/>
        <v>44</v>
      </c>
      <c r="AT1">
        <f t="shared" si="0"/>
        <v>45</v>
      </c>
      <c r="AU1">
        <f t="shared" si="0"/>
        <v>46</v>
      </c>
      <c r="AV1">
        <f t="shared" si="0"/>
        <v>47</v>
      </c>
      <c r="AW1">
        <f t="shared" si="0"/>
        <v>48</v>
      </c>
      <c r="AX1">
        <f t="shared" si="0"/>
        <v>49</v>
      </c>
      <c r="AY1">
        <f t="shared" si="0"/>
        <v>50</v>
      </c>
      <c r="AZ1">
        <f t="shared" si="0"/>
        <v>51</v>
      </c>
      <c r="BA1">
        <f t="shared" si="0"/>
        <v>52</v>
      </c>
      <c r="BB1">
        <f t="shared" si="0"/>
        <v>53</v>
      </c>
      <c r="BC1">
        <f t="shared" si="0"/>
        <v>54</v>
      </c>
      <c r="BD1">
        <f t="shared" si="0"/>
        <v>55</v>
      </c>
      <c r="BE1">
        <f t="shared" si="0"/>
        <v>56</v>
      </c>
      <c r="BF1">
        <f t="shared" si="0"/>
        <v>57</v>
      </c>
    </row>
    <row r="2" spans="1:58" x14ac:dyDescent="0.25">
      <c r="A2">
        <v>1</v>
      </c>
      <c r="B2">
        <v>0</v>
      </c>
      <c r="C2">
        <v>-32.829555980255364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-10.584053669293683</v>
      </c>
      <c r="Q2">
        <v>-4.6295089394469224</v>
      </c>
      <c r="R2">
        <v>-8.8304263787729642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</row>
    <row r="3" spans="1:58" x14ac:dyDescent="0.25">
      <c r="A3">
        <f>A2+1</f>
        <v>2</v>
      </c>
      <c r="B3">
        <v>-32.829555980255364</v>
      </c>
      <c r="C3">
        <v>0</v>
      </c>
      <c r="D3">
        <v>-10.476960547464328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</row>
    <row r="4" spans="1:58" x14ac:dyDescent="0.25">
      <c r="A4">
        <f t="shared" ref="A4:A58" si="1">A3+1</f>
        <v>3</v>
      </c>
      <c r="B4">
        <v>0</v>
      </c>
      <c r="C4">
        <v>-10.476960547464328</v>
      </c>
      <c r="D4">
        <v>0</v>
      </c>
      <c r="E4">
        <v>-24.982935153583615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-17.255749746047456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</row>
    <row r="5" spans="1:58" x14ac:dyDescent="0.25">
      <c r="A5">
        <f t="shared" si="1"/>
        <v>4</v>
      </c>
      <c r="B5">
        <v>0</v>
      </c>
      <c r="C5">
        <v>0</v>
      </c>
      <c r="D5">
        <v>-24.982935153583615</v>
      </c>
      <c r="E5">
        <v>0</v>
      </c>
      <c r="F5">
        <v>-6.1883944163804925</v>
      </c>
      <c r="G5">
        <v>-6.230791899970531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-1.8018018018018016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</row>
    <row r="6" spans="1:58" x14ac:dyDescent="0.25">
      <c r="A6">
        <f t="shared" si="1"/>
        <v>5</v>
      </c>
      <c r="B6">
        <v>0</v>
      </c>
      <c r="C6">
        <v>0</v>
      </c>
      <c r="D6">
        <v>0</v>
      </c>
      <c r="E6">
        <v>-6.1883944163804925</v>
      </c>
      <c r="F6">
        <v>0</v>
      </c>
      <c r="G6">
        <v>-12.766762599958172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</row>
    <row r="7" spans="1:58" x14ac:dyDescent="0.25">
      <c r="A7">
        <f t="shared" si="1"/>
        <v>6</v>
      </c>
      <c r="B7">
        <v>0</v>
      </c>
      <c r="C7">
        <v>0</v>
      </c>
      <c r="D7">
        <v>0</v>
      </c>
      <c r="E7">
        <v>-6.230791899970531</v>
      </c>
      <c r="F7">
        <v>-12.766762599958172</v>
      </c>
      <c r="G7">
        <v>0</v>
      </c>
      <c r="H7">
        <v>-9.440947797112182</v>
      </c>
      <c r="I7">
        <v>-5.5666011652537257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</row>
    <row r="8" spans="1:58" x14ac:dyDescent="0.25">
      <c r="A8">
        <f t="shared" si="1"/>
        <v>7</v>
      </c>
      <c r="B8">
        <v>0</v>
      </c>
      <c r="C8">
        <v>0</v>
      </c>
      <c r="D8">
        <v>0</v>
      </c>
      <c r="E8">
        <v>0</v>
      </c>
      <c r="F8">
        <v>0</v>
      </c>
      <c r="G8">
        <v>-9.440947797112182</v>
      </c>
      <c r="H8">
        <v>0</v>
      </c>
      <c r="I8">
        <v>-13.529305577988277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-15.4320987654321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</row>
    <row r="9" spans="1:58" x14ac:dyDescent="0.25">
      <c r="A9">
        <f t="shared" si="1"/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-5.5666011652537257</v>
      </c>
      <c r="H9">
        <v>-13.529305577988277</v>
      </c>
      <c r="I9">
        <v>0</v>
      </c>
      <c r="J9">
        <v>-19.069124632777747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</row>
    <row r="10" spans="1:58" x14ac:dyDescent="0.25">
      <c r="A10">
        <f t="shared" si="1"/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-19.069124632777747</v>
      </c>
      <c r="J10">
        <v>0</v>
      </c>
      <c r="K10">
        <v>-5.6815067125699024</v>
      </c>
      <c r="L10">
        <v>-10.793363099935343</v>
      </c>
      <c r="M10">
        <v>-3.2337967053421446</v>
      </c>
      <c r="N10">
        <v>-5.7922963192156498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-8.2987551867219924</v>
      </c>
      <c r="BE10">
        <v>0</v>
      </c>
      <c r="BF10">
        <v>0</v>
      </c>
    </row>
    <row r="11" spans="1:58" x14ac:dyDescent="0.25">
      <c r="A11">
        <f t="shared" si="1"/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-5.6815067125699024</v>
      </c>
      <c r="K11">
        <v>0</v>
      </c>
      <c r="L11">
        <v>0</v>
      </c>
      <c r="M11">
        <v>-7.5597245193255196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-14.04494382022472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</row>
    <row r="12" spans="1:58" x14ac:dyDescent="0.25">
      <c r="A12">
        <f t="shared" si="1"/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-10.793363099935343</v>
      </c>
      <c r="K12">
        <v>0</v>
      </c>
      <c r="L12">
        <v>0</v>
      </c>
      <c r="M12">
        <v>0</v>
      </c>
      <c r="N12">
        <v>-12.50100332506195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-1.3351134846461949</v>
      </c>
      <c r="AQ12">
        <v>0</v>
      </c>
      <c r="AR12">
        <v>-6.5359477124183005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</row>
    <row r="13" spans="1:58" x14ac:dyDescent="0.25">
      <c r="A13">
        <f t="shared" si="1"/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-3.2337967053421446</v>
      </c>
      <c r="K13">
        <v>-7.5597245193255196</v>
      </c>
      <c r="L13">
        <v>0</v>
      </c>
      <c r="M13">
        <v>0</v>
      </c>
      <c r="N13">
        <v>-15.757272796426902</v>
      </c>
      <c r="O13">
        <v>0</v>
      </c>
      <c r="P13">
        <v>0</v>
      </c>
      <c r="Q13">
        <v>-11.725358358969034</v>
      </c>
      <c r="R13">
        <v>-5.3246726590552598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</row>
    <row r="14" spans="1:58" x14ac:dyDescent="0.25">
      <c r="A14">
        <f t="shared" si="1"/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-5.7922963192156498</v>
      </c>
      <c r="K14">
        <v>0</v>
      </c>
      <c r="L14">
        <v>-12.50100332506195</v>
      </c>
      <c r="M14">
        <v>-15.757272796426902</v>
      </c>
      <c r="N14">
        <v>0</v>
      </c>
      <c r="O14">
        <v>-21.090484983963453</v>
      </c>
      <c r="P14">
        <v>-10.50123138720179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-5.2356020942408374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</row>
    <row r="15" spans="1:58" x14ac:dyDescent="0.25">
      <c r="A15">
        <f t="shared" si="1"/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-21.090484983963453</v>
      </c>
      <c r="O15">
        <v>0</v>
      </c>
      <c r="P15">
        <v>-16.653980818998328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-13.605442176870749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</row>
    <row r="16" spans="1:58" x14ac:dyDescent="0.25">
      <c r="A16">
        <f t="shared" si="1"/>
        <v>15</v>
      </c>
      <c r="B16">
        <v>-10.584053669293683</v>
      </c>
      <c r="C16">
        <v>0</v>
      </c>
      <c r="D16">
        <v>-17.255749746047456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-10.50123138720179</v>
      </c>
      <c r="O16">
        <v>-16.653980818998328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-9.5969289827255277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</row>
    <row r="17" spans="1:58" x14ac:dyDescent="0.25">
      <c r="A17">
        <f t="shared" si="1"/>
        <v>16</v>
      </c>
      <c r="B17">
        <v>-4.6295089394469224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-11.725358358969034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</row>
    <row r="18" spans="1:58" x14ac:dyDescent="0.25">
      <c r="A18">
        <f t="shared" si="1"/>
        <v>17</v>
      </c>
      <c r="B18">
        <v>-8.8304263787729642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-5.3246726590552598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</row>
    <row r="19" spans="1:58" x14ac:dyDescent="0.25">
      <c r="A19">
        <f t="shared" si="1"/>
        <v>18</v>
      </c>
      <c r="B19">
        <v>0</v>
      </c>
      <c r="C19">
        <v>0</v>
      </c>
      <c r="D19">
        <v>0</v>
      </c>
      <c r="E19">
        <v>-1.8018018018018016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-1.0047730386390239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</row>
    <row r="20" spans="1:58" x14ac:dyDescent="0.25">
      <c r="A20">
        <f t="shared" si="1"/>
        <v>19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-1.0047730386390239</v>
      </c>
      <c r="T20">
        <v>0</v>
      </c>
      <c r="U20">
        <v>-1.6167185084467954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</row>
    <row r="21" spans="1:58" x14ac:dyDescent="0.25">
      <c r="A21">
        <f t="shared" si="1"/>
        <v>20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-1.6167185084467954</v>
      </c>
      <c r="U21">
        <v>0</v>
      </c>
      <c r="V21">
        <v>-1.2874983906270119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</row>
    <row r="22" spans="1:58" x14ac:dyDescent="0.25">
      <c r="A22">
        <f t="shared" si="1"/>
        <v>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-1.2874983906270119</v>
      </c>
      <c r="V22">
        <v>0</v>
      </c>
      <c r="W22">
        <v>-6.1237435857711411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</row>
    <row r="23" spans="1:58" x14ac:dyDescent="0.25">
      <c r="A23">
        <f t="shared" si="1"/>
        <v>22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-6.1237435857711411</v>
      </c>
      <c r="W23">
        <v>0</v>
      </c>
      <c r="X23">
        <v>-46.193587600668593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-23.811637837096111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</row>
    <row r="24" spans="1:58" x14ac:dyDescent="0.25">
      <c r="A24">
        <f t="shared" si="1"/>
        <v>23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-46.193587600668593</v>
      </c>
      <c r="X24">
        <v>0</v>
      </c>
      <c r="Y24">
        <v>-2.7499677738151505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</row>
    <row r="25" spans="1:58" x14ac:dyDescent="0.25">
      <c r="A25">
        <f t="shared" si="1"/>
        <v>24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-2.7499677738151505</v>
      </c>
      <c r="Y25">
        <v>0</v>
      </c>
      <c r="Z25">
        <v>-0.84602368866328259</v>
      </c>
      <c r="AA25">
        <v>-21.141649048625791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</row>
    <row r="26" spans="1:58" x14ac:dyDescent="0.25">
      <c r="A26">
        <f t="shared" si="1"/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-0.84602368866328259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-3.4220467905605716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</row>
    <row r="27" spans="1:58" x14ac:dyDescent="0.25">
      <c r="A27">
        <f t="shared" si="1"/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-21.141649048625791</v>
      </c>
      <c r="Z27">
        <v>0</v>
      </c>
      <c r="AA27">
        <v>0</v>
      </c>
      <c r="AB27">
        <v>-2.7686639561373867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</row>
    <row r="28" spans="1:58" x14ac:dyDescent="0.25">
      <c r="A28">
        <f t="shared" si="1"/>
        <v>27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-2.7686639561373867</v>
      </c>
      <c r="AB28">
        <v>0</v>
      </c>
      <c r="AC28">
        <v>-7.3836723321259399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</row>
    <row r="29" spans="1:58" x14ac:dyDescent="0.25">
      <c r="A29">
        <f t="shared" si="1"/>
        <v>28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-7.3836723321259399</v>
      </c>
      <c r="AC29">
        <v>0</v>
      </c>
      <c r="AD29">
        <v>-11.303830400178704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</row>
    <row r="30" spans="1:58" x14ac:dyDescent="0.25">
      <c r="A30">
        <f t="shared" si="1"/>
        <v>29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-15.4320987654321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-11.303830400178704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-3.3534997625650433</v>
      </c>
      <c r="BB30">
        <v>0</v>
      </c>
      <c r="BC30">
        <v>0</v>
      </c>
      <c r="BD30">
        <v>0</v>
      </c>
      <c r="BE30">
        <v>0</v>
      </c>
      <c r="BF30">
        <v>0</v>
      </c>
    </row>
    <row r="31" spans="1:58" x14ac:dyDescent="0.25">
      <c r="A31">
        <f t="shared" si="1"/>
        <v>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-3.4220467905605716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-1.4067962126894715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</row>
    <row r="32" spans="1:58" x14ac:dyDescent="0.25">
      <c r="A32">
        <f t="shared" si="1"/>
        <v>31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-1.4067962126894715</v>
      </c>
      <c r="AF32">
        <v>0</v>
      </c>
      <c r="AG32">
        <v>-0.9128566488609241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</row>
    <row r="33" spans="1:58" x14ac:dyDescent="0.25">
      <c r="A33">
        <f t="shared" si="1"/>
        <v>32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-0.9128566488609241</v>
      </c>
      <c r="AG33">
        <v>0</v>
      </c>
      <c r="AH33">
        <v>-12.708992318120197</v>
      </c>
      <c r="AI33">
        <v>-1.0493179433368311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</row>
    <row r="34" spans="1:58" x14ac:dyDescent="0.25">
      <c r="A34">
        <f t="shared" si="1"/>
        <v>33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-12.708992318120197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</row>
    <row r="35" spans="1:58" x14ac:dyDescent="0.25">
      <c r="A35">
        <f t="shared" si="1"/>
        <v>34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-1.0493179433368311</v>
      </c>
      <c r="AH35">
        <v>0</v>
      </c>
      <c r="AI35">
        <v>0</v>
      </c>
      <c r="AJ35">
        <v>-8.8757396449704142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</row>
    <row r="36" spans="1:58" x14ac:dyDescent="0.25">
      <c r="A36">
        <f t="shared" si="1"/>
        <v>35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-8.8757396449704142</v>
      </c>
      <c r="AJ36">
        <v>0</v>
      </c>
      <c r="AK36">
        <v>-11.346612602980548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</row>
    <row r="37" spans="1:58" x14ac:dyDescent="0.25">
      <c r="A37">
        <f t="shared" si="1"/>
        <v>36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-11.346612602980548</v>
      </c>
      <c r="AK37">
        <v>0</v>
      </c>
      <c r="AL37">
        <v>-16.784679164985139</v>
      </c>
      <c r="AM37">
        <v>0</v>
      </c>
      <c r="AN37">
        <v>0</v>
      </c>
      <c r="AO37">
        <v>-15.171443826589746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</row>
    <row r="38" spans="1:58" x14ac:dyDescent="0.25">
      <c r="A38">
        <f t="shared" si="1"/>
        <v>37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-16.784679164985139</v>
      </c>
      <c r="AL38">
        <v>0</v>
      </c>
      <c r="AM38">
        <v>-6.9977987102966814</v>
      </c>
      <c r="AN38">
        <v>-18.87807453601777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</row>
    <row r="39" spans="1:58" x14ac:dyDescent="0.25">
      <c r="A39">
        <f t="shared" si="1"/>
        <v>38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-23.811637837096111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-6.9977987102966814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-13.740587110624645</v>
      </c>
      <c r="AT39">
        <v>0</v>
      </c>
      <c r="AU39">
        <v>0</v>
      </c>
      <c r="AV39">
        <v>0</v>
      </c>
      <c r="AW39">
        <v>-14.620769986774574</v>
      </c>
      <c r="AX39">
        <v>-3.9727072765632716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</row>
    <row r="40" spans="1:58" x14ac:dyDescent="0.25">
      <c r="A40">
        <f t="shared" si="1"/>
        <v>39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-18.87807453601777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-0.73800738007380073</v>
      </c>
    </row>
    <row r="41" spans="1:58" x14ac:dyDescent="0.25">
      <c r="A41">
        <f t="shared" si="1"/>
        <v>40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-15.171443826589746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-0.83682008368200833</v>
      </c>
      <c r="BF41">
        <v>0</v>
      </c>
    </row>
    <row r="42" spans="1:58" x14ac:dyDescent="0.25">
      <c r="A42">
        <f t="shared" si="1"/>
        <v>41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-1.3351134846461949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-2.1109065504068893</v>
      </c>
      <c r="AR42">
        <v>-2.4271844660194177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-0.90413530738953574</v>
      </c>
      <c r="BF42">
        <v>0</v>
      </c>
    </row>
    <row r="43" spans="1:58" x14ac:dyDescent="0.25">
      <c r="A43">
        <f t="shared" si="1"/>
        <v>42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-2.1109065504068893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-2.0765843121094489</v>
      </c>
      <c r="BF43">
        <v>0</v>
      </c>
    </row>
    <row r="44" spans="1:58" x14ac:dyDescent="0.25">
      <c r="A44">
        <f t="shared" si="1"/>
        <v>43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-6.5359477124183005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-2.4271844660194177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</row>
    <row r="45" spans="1:58" x14ac:dyDescent="0.25">
      <c r="A45">
        <f t="shared" si="1"/>
        <v>44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-13.740587110624645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-6.4287710798472002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</row>
    <row r="46" spans="1:58" x14ac:dyDescent="0.25">
      <c r="A46">
        <f t="shared" si="1"/>
        <v>45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-9.5969289827255277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-6.4287710798472002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</row>
    <row r="47" spans="1:58" x14ac:dyDescent="0.25">
      <c r="A47">
        <f t="shared" si="1"/>
        <v>46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-13.605442176870749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-13.196196390452164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</row>
    <row r="48" spans="1:58" x14ac:dyDescent="0.25">
      <c r="A48">
        <f t="shared" si="1"/>
        <v>47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-13.196196390452164</v>
      </c>
      <c r="AV48">
        <v>0</v>
      </c>
      <c r="AW48">
        <v>-26.655074188049831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</row>
    <row r="49" spans="1:58" x14ac:dyDescent="0.25">
      <c r="A49">
        <f t="shared" si="1"/>
        <v>48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-14.620769986774574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-26.655074188049831</v>
      </c>
      <c r="AW49">
        <v>0</v>
      </c>
      <c r="AX49">
        <v>-5.4668985648755584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</row>
    <row r="50" spans="1:58" x14ac:dyDescent="0.25">
      <c r="A50">
        <f t="shared" si="1"/>
        <v>49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-5.2356020942408374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-3.9727072765632716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-5.4668985648755584</v>
      </c>
      <c r="AX50">
        <v>0</v>
      </c>
      <c r="AY50">
        <v>-5.6140326254242874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</row>
    <row r="51" spans="1:58" x14ac:dyDescent="0.25">
      <c r="A51">
        <f t="shared" si="1"/>
        <v>50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-5.6140326254242874</v>
      </c>
      <c r="AY51">
        <v>0</v>
      </c>
      <c r="AZ51">
        <v>-3.253958440442799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</row>
    <row r="52" spans="1:58" x14ac:dyDescent="0.25">
      <c r="A52">
        <f t="shared" si="1"/>
        <v>51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-14.04494382022472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-3.253958440442799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</row>
    <row r="53" spans="1:58" x14ac:dyDescent="0.25">
      <c r="A53">
        <f t="shared" si="1"/>
        <v>52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-3.3534997625650433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-6.3528956033313966</v>
      </c>
      <c r="BC53">
        <v>0</v>
      </c>
      <c r="BD53">
        <v>0</v>
      </c>
      <c r="BE53">
        <v>0</v>
      </c>
      <c r="BF53">
        <v>0</v>
      </c>
    </row>
    <row r="54" spans="1:58" x14ac:dyDescent="0.25">
      <c r="A54">
        <f t="shared" si="1"/>
        <v>53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-6.3528956033313966</v>
      </c>
      <c r="BB54">
        <v>0</v>
      </c>
      <c r="BC54">
        <v>-2.6040251943927255</v>
      </c>
      <c r="BD54">
        <v>0</v>
      </c>
      <c r="BE54">
        <v>0</v>
      </c>
      <c r="BF54">
        <v>0</v>
      </c>
    </row>
    <row r="55" spans="1:58" x14ac:dyDescent="0.25">
      <c r="A55">
        <f t="shared" si="1"/>
        <v>54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-2.6040251943927255</v>
      </c>
      <c r="BC55">
        <v>0</v>
      </c>
      <c r="BD55">
        <v>-2.7859610686233256</v>
      </c>
      <c r="BE55">
        <v>0</v>
      </c>
      <c r="BF55">
        <v>0</v>
      </c>
    </row>
    <row r="56" spans="1:58" x14ac:dyDescent="0.25">
      <c r="A56">
        <f t="shared" si="1"/>
        <v>55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-8.2987551867219924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-2.7859610686233256</v>
      </c>
      <c r="BD56">
        <v>0</v>
      </c>
      <c r="BE56">
        <v>0</v>
      </c>
      <c r="BF56">
        <v>0</v>
      </c>
    </row>
    <row r="57" spans="1:58" x14ac:dyDescent="0.25">
      <c r="A57">
        <f t="shared" si="1"/>
        <v>56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-0.83682008368200833</v>
      </c>
      <c r="AP57">
        <v>-0.90413530738953574</v>
      </c>
      <c r="AQ57">
        <v>-2.0765843121094489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-2.6564224120315503</v>
      </c>
    </row>
    <row r="58" spans="1:58" x14ac:dyDescent="0.25">
      <c r="A58">
        <f t="shared" si="1"/>
        <v>57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-0.73800738007380073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-2.6564224120315503</v>
      </c>
      <c r="BF58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F58"/>
  <sheetViews>
    <sheetView workbookViewId="0">
      <selection activeCell="B2" sqref="B2:BF58"/>
    </sheetView>
  </sheetViews>
  <sheetFormatPr defaultRowHeight="15" x14ac:dyDescent="0.25"/>
  <sheetData>
    <row r="1" spans="1:58" x14ac:dyDescent="0.25">
      <c r="B1">
        <v>1</v>
      </c>
      <c r="C1">
        <f>B1+1</f>
        <v>2</v>
      </c>
      <c r="D1">
        <f t="shared" ref="D1:BF1" si="0">C1+1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 t="shared" si="0"/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 t="shared" si="0"/>
        <v>24</v>
      </c>
      <c r="Z1">
        <f t="shared" si="0"/>
        <v>25</v>
      </c>
      <c r="AA1">
        <f t="shared" si="0"/>
        <v>26</v>
      </c>
      <c r="AB1">
        <f t="shared" si="0"/>
        <v>27</v>
      </c>
      <c r="AC1">
        <f t="shared" si="0"/>
        <v>28</v>
      </c>
      <c r="AD1">
        <f t="shared" si="0"/>
        <v>29</v>
      </c>
      <c r="AE1">
        <f t="shared" si="0"/>
        <v>30</v>
      </c>
      <c r="AF1">
        <f t="shared" si="0"/>
        <v>31</v>
      </c>
      <c r="AG1">
        <f t="shared" si="0"/>
        <v>32</v>
      </c>
      <c r="AH1">
        <f t="shared" si="0"/>
        <v>33</v>
      </c>
      <c r="AI1">
        <f t="shared" si="0"/>
        <v>34</v>
      </c>
      <c r="AJ1">
        <f t="shared" si="0"/>
        <v>35</v>
      </c>
      <c r="AK1">
        <f t="shared" si="0"/>
        <v>36</v>
      </c>
      <c r="AL1">
        <f t="shared" si="0"/>
        <v>37</v>
      </c>
      <c r="AM1">
        <f t="shared" si="0"/>
        <v>38</v>
      </c>
      <c r="AN1">
        <f t="shared" si="0"/>
        <v>39</v>
      </c>
      <c r="AO1">
        <f t="shared" si="0"/>
        <v>40</v>
      </c>
      <c r="AP1">
        <f t="shared" si="0"/>
        <v>41</v>
      </c>
      <c r="AQ1">
        <f t="shared" si="0"/>
        <v>42</v>
      </c>
      <c r="AR1">
        <f t="shared" si="0"/>
        <v>43</v>
      </c>
      <c r="AS1">
        <f t="shared" si="0"/>
        <v>44</v>
      </c>
      <c r="AT1">
        <f t="shared" si="0"/>
        <v>45</v>
      </c>
      <c r="AU1">
        <f t="shared" si="0"/>
        <v>46</v>
      </c>
      <c r="AV1">
        <f t="shared" si="0"/>
        <v>47</v>
      </c>
      <c r="AW1">
        <f t="shared" si="0"/>
        <v>48</v>
      </c>
      <c r="AX1">
        <f t="shared" si="0"/>
        <v>49</v>
      </c>
      <c r="AY1">
        <f t="shared" si="0"/>
        <v>50</v>
      </c>
      <c r="AZ1">
        <f t="shared" si="0"/>
        <v>51</v>
      </c>
      <c r="BA1">
        <f t="shared" si="0"/>
        <v>52</v>
      </c>
      <c r="BB1">
        <f t="shared" si="0"/>
        <v>53</v>
      </c>
      <c r="BC1">
        <f t="shared" si="0"/>
        <v>54</v>
      </c>
      <c r="BD1">
        <f t="shared" si="0"/>
        <v>55</v>
      </c>
      <c r="BE1">
        <f t="shared" si="0"/>
        <v>56</v>
      </c>
      <c r="BF1">
        <f t="shared" si="0"/>
        <v>57</v>
      </c>
    </row>
    <row r="2" spans="1:58" x14ac:dyDescent="0.25">
      <c r="A2">
        <v>1</v>
      </c>
      <c r="B2">
        <v>0</v>
      </c>
      <c r="C2">
        <v>-0.129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-9.8799999999999999E-2</v>
      </c>
      <c r="Q2">
        <v>-5.4600000000000003E-2</v>
      </c>
      <c r="R2">
        <v>-2.86E-2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</row>
    <row r="3" spans="1:58" x14ac:dyDescent="0.25">
      <c r="A3">
        <f>A2+1</f>
        <v>2</v>
      </c>
      <c r="B3">
        <v>-0.129</v>
      </c>
      <c r="C3">
        <v>0</v>
      </c>
      <c r="D3">
        <v>-8.1799999999999998E-2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</row>
    <row r="4" spans="1:58" x14ac:dyDescent="0.25">
      <c r="A4">
        <f t="shared" ref="A4:A58" si="1">A3+1</f>
        <v>3</v>
      </c>
      <c r="B4">
        <v>0</v>
      </c>
      <c r="C4">
        <v>-8.1799999999999998E-2</v>
      </c>
      <c r="D4">
        <v>0</v>
      </c>
      <c r="E4">
        <v>-3.7999999999999999E-2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-5.4399999999999997E-2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</row>
    <row r="5" spans="1:58" x14ac:dyDescent="0.25">
      <c r="A5">
        <f t="shared" si="1"/>
        <v>4</v>
      </c>
      <c r="B5">
        <v>0</v>
      </c>
      <c r="C5">
        <v>0</v>
      </c>
      <c r="D5">
        <v>-3.7999999999999999E-2</v>
      </c>
      <c r="E5">
        <v>0</v>
      </c>
      <c r="F5">
        <v>-2.58E-2</v>
      </c>
      <c r="G5">
        <v>-3.4799999999999998E-2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</row>
    <row r="6" spans="1:58" x14ac:dyDescent="0.25">
      <c r="A6">
        <f t="shared" si="1"/>
        <v>5</v>
      </c>
      <c r="B6">
        <v>0</v>
      </c>
      <c r="C6">
        <v>0</v>
      </c>
      <c r="D6">
        <v>0</v>
      </c>
      <c r="E6">
        <v>-2.58E-2</v>
      </c>
      <c r="F6">
        <v>0</v>
      </c>
      <c r="G6">
        <v>-1.24E-2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</row>
    <row r="7" spans="1:58" x14ac:dyDescent="0.25">
      <c r="A7">
        <f t="shared" si="1"/>
        <v>6</v>
      </c>
      <c r="B7">
        <v>0</v>
      </c>
      <c r="C7">
        <v>0</v>
      </c>
      <c r="D7">
        <v>0</v>
      </c>
      <c r="E7">
        <v>-3.4799999999999998E-2</v>
      </c>
      <c r="F7">
        <v>-1.24E-2</v>
      </c>
      <c r="G7">
        <v>0</v>
      </c>
      <c r="H7">
        <v>-2.76E-2</v>
      </c>
      <c r="I7">
        <v>-4.7E-2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</row>
    <row r="8" spans="1:58" x14ac:dyDescent="0.25">
      <c r="A8">
        <f t="shared" si="1"/>
        <v>7</v>
      </c>
      <c r="B8">
        <v>0</v>
      </c>
      <c r="C8">
        <v>0</v>
      </c>
      <c r="D8">
        <v>0</v>
      </c>
      <c r="E8">
        <v>0</v>
      </c>
      <c r="F8">
        <v>0</v>
      </c>
      <c r="G8">
        <v>-2.76E-2</v>
      </c>
      <c r="H8">
        <v>0</v>
      </c>
      <c r="I8">
        <v>-1.9400000000000001E-2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</row>
    <row r="9" spans="1:58" x14ac:dyDescent="0.25">
      <c r="A9">
        <f t="shared" si="1"/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-4.7E-2</v>
      </c>
      <c r="H9">
        <v>-1.9400000000000001E-2</v>
      </c>
      <c r="I9">
        <v>0</v>
      </c>
      <c r="J9">
        <v>-5.4800000000000001E-2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</row>
    <row r="10" spans="1:58" x14ac:dyDescent="0.25">
      <c r="A10">
        <f t="shared" si="1"/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-5.4800000000000001E-2</v>
      </c>
      <c r="J10">
        <v>0</v>
      </c>
      <c r="K10">
        <v>-4.3999999999999997E-2</v>
      </c>
      <c r="L10">
        <v>-2.18E-2</v>
      </c>
      <c r="M10">
        <v>-7.7200000000000005E-2</v>
      </c>
      <c r="N10">
        <v>-4.0599999999999997E-2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</row>
    <row r="11" spans="1:58" x14ac:dyDescent="0.25">
      <c r="A11">
        <f t="shared" si="1"/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-4.3999999999999997E-2</v>
      </c>
      <c r="K11">
        <v>0</v>
      </c>
      <c r="L11">
        <v>0</v>
      </c>
      <c r="M11">
        <v>-3.2800000000000003E-2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</row>
    <row r="12" spans="1:58" x14ac:dyDescent="0.25">
      <c r="A12">
        <f t="shared" si="1"/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-2.18E-2</v>
      </c>
      <c r="K12">
        <v>0</v>
      </c>
      <c r="L12">
        <v>0</v>
      </c>
      <c r="M12">
        <v>0</v>
      </c>
      <c r="N12">
        <v>-1.8800000000000001E-2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</row>
    <row r="13" spans="1:58" x14ac:dyDescent="0.25">
      <c r="A13">
        <f t="shared" si="1"/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-7.7200000000000005E-2</v>
      </c>
      <c r="K13">
        <v>-3.2800000000000003E-2</v>
      </c>
      <c r="L13">
        <v>0</v>
      </c>
      <c r="M13">
        <v>0</v>
      </c>
      <c r="N13">
        <v>-6.0400000000000002E-2</v>
      </c>
      <c r="O13">
        <v>0</v>
      </c>
      <c r="P13">
        <v>0</v>
      </c>
      <c r="Q13">
        <v>-2.1600000000000001E-2</v>
      </c>
      <c r="R13">
        <v>-4.7600000000000003E-2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</row>
    <row r="14" spans="1:58" x14ac:dyDescent="0.25">
      <c r="A14">
        <f t="shared" si="1"/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-4.0599999999999997E-2</v>
      </c>
      <c r="K14">
        <v>0</v>
      </c>
      <c r="L14">
        <v>-1.8800000000000001E-2</v>
      </c>
      <c r="M14">
        <v>-6.0400000000000002E-2</v>
      </c>
      <c r="N14">
        <v>0</v>
      </c>
      <c r="O14">
        <v>-1.0999999999999999E-2</v>
      </c>
      <c r="P14">
        <v>-2.3E-2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</row>
    <row r="15" spans="1:58" x14ac:dyDescent="0.25">
      <c r="A15">
        <f t="shared" si="1"/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-1.0999999999999999E-2</v>
      </c>
      <c r="O15">
        <v>0</v>
      </c>
      <c r="P15">
        <v>-1.4800000000000001E-2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</row>
    <row r="16" spans="1:58" x14ac:dyDescent="0.25">
      <c r="A16">
        <f t="shared" si="1"/>
        <v>15</v>
      </c>
      <c r="B16">
        <v>-9.8799999999999999E-2</v>
      </c>
      <c r="C16">
        <v>0</v>
      </c>
      <c r="D16">
        <v>-5.4399999999999997E-2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-2.3E-2</v>
      </c>
      <c r="O16">
        <v>-1.4800000000000001E-2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</row>
    <row r="17" spans="1:58" x14ac:dyDescent="0.25">
      <c r="A17">
        <f t="shared" si="1"/>
        <v>16</v>
      </c>
      <c r="B17">
        <v>-5.4600000000000003E-2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-2.1600000000000001E-2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</row>
    <row r="18" spans="1:58" x14ac:dyDescent="0.25">
      <c r="A18">
        <f t="shared" si="1"/>
        <v>17</v>
      </c>
      <c r="B18">
        <v>-2.86E-2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-4.7600000000000003E-2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</row>
    <row r="19" spans="1:58" x14ac:dyDescent="0.25">
      <c r="A19">
        <f t="shared" si="1"/>
        <v>18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</row>
    <row r="20" spans="1:58" x14ac:dyDescent="0.25">
      <c r="A20">
        <f t="shared" si="1"/>
        <v>19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</row>
    <row r="21" spans="1:58" x14ac:dyDescent="0.25">
      <c r="A21">
        <f t="shared" si="1"/>
        <v>20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</row>
    <row r="22" spans="1:58" x14ac:dyDescent="0.25">
      <c r="A22">
        <f t="shared" si="1"/>
        <v>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</row>
    <row r="23" spans="1:58" x14ac:dyDescent="0.25">
      <c r="A23">
        <f t="shared" si="1"/>
        <v>22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</row>
    <row r="24" spans="1:58" x14ac:dyDescent="0.25">
      <c r="A24">
        <f t="shared" si="1"/>
        <v>23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-8.3999999999999995E-3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</row>
    <row r="25" spans="1:58" x14ac:dyDescent="0.25">
      <c r="A25">
        <f t="shared" si="1"/>
        <v>24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-8.3999999999999995E-3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</row>
    <row r="26" spans="1:58" x14ac:dyDescent="0.25">
      <c r="A26">
        <f t="shared" si="1"/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</row>
    <row r="27" spans="1:58" x14ac:dyDescent="0.25">
      <c r="A27">
        <f t="shared" si="1"/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</row>
    <row r="28" spans="1:58" x14ac:dyDescent="0.25">
      <c r="A28">
        <f t="shared" si="1"/>
        <v>27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</row>
    <row r="29" spans="1:58" x14ac:dyDescent="0.25">
      <c r="A29">
        <f t="shared" si="1"/>
        <v>28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</row>
    <row r="30" spans="1:58" x14ac:dyDescent="0.25">
      <c r="A30">
        <f t="shared" si="1"/>
        <v>29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</row>
    <row r="31" spans="1:58" x14ac:dyDescent="0.25">
      <c r="A31">
        <f t="shared" si="1"/>
        <v>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</row>
    <row r="32" spans="1:58" x14ac:dyDescent="0.25">
      <c r="A32">
        <f t="shared" si="1"/>
        <v>31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</row>
    <row r="33" spans="1:58" x14ac:dyDescent="0.25">
      <c r="A33">
        <f t="shared" si="1"/>
        <v>32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</row>
    <row r="34" spans="1:58" x14ac:dyDescent="0.25">
      <c r="A34">
        <f t="shared" si="1"/>
        <v>33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</row>
    <row r="35" spans="1:58" x14ac:dyDescent="0.25">
      <c r="A35">
        <f t="shared" si="1"/>
        <v>34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-3.2000000000000002E-3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</row>
    <row r="36" spans="1:58" x14ac:dyDescent="0.25">
      <c r="A36">
        <f t="shared" si="1"/>
        <v>35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-3.2000000000000002E-3</v>
      </c>
      <c r="AJ36">
        <v>0</v>
      </c>
      <c r="AK36">
        <v>-1.6000000000000001E-3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</row>
    <row r="37" spans="1:58" x14ac:dyDescent="0.25">
      <c r="A37">
        <f t="shared" si="1"/>
        <v>36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-1.6000000000000001E-3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</row>
    <row r="38" spans="1:58" x14ac:dyDescent="0.25">
      <c r="A38">
        <f t="shared" si="1"/>
        <v>37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-2E-3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</row>
    <row r="39" spans="1:58" x14ac:dyDescent="0.25">
      <c r="A39">
        <f t="shared" si="1"/>
        <v>38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-2E-3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-2E-3</v>
      </c>
      <c r="AT39">
        <v>0</v>
      </c>
      <c r="AU39">
        <v>0</v>
      </c>
      <c r="AV39">
        <v>0</v>
      </c>
      <c r="AW39">
        <v>0</v>
      </c>
      <c r="AX39">
        <v>-3.0000000000000001E-3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</row>
    <row r="40" spans="1:58" x14ac:dyDescent="0.25">
      <c r="A40">
        <f t="shared" si="1"/>
        <v>39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</row>
    <row r="41" spans="1:58" x14ac:dyDescent="0.25">
      <c r="A41">
        <f t="shared" si="1"/>
        <v>40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</row>
    <row r="42" spans="1:58" x14ac:dyDescent="0.25">
      <c r="A42">
        <f t="shared" si="1"/>
        <v>41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</row>
    <row r="43" spans="1:58" x14ac:dyDescent="0.25">
      <c r="A43">
        <f t="shared" si="1"/>
        <v>42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</row>
    <row r="44" spans="1:58" x14ac:dyDescent="0.25">
      <c r="A44">
        <f t="shared" si="1"/>
        <v>43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</row>
    <row r="45" spans="1:58" x14ac:dyDescent="0.25">
      <c r="A45">
        <f t="shared" si="1"/>
        <v>44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-2E-3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-4.0000000000000001E-3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</row>
    <row r="46" spans="1:58" x14ac:dyDescent="0.25">
      <c r="A46">
        <f t="shared" si="1"/>
        <v>45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-4.0000000000000001E-3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</row>
    <row r="47" spans="1:58" x14ac:dyDescent="0.25">
      <c r="A47">
        <f t="shared" si="1"/>
        <v>46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-3.2000000000000002E-3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</row>
    <row r="48" spans="1:58" x14ac:dyDescent="0.25">
      <c r="A48">
        <f t="shared" si="1"/>
        <v>47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-3.2000000000000002E-3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</row>
    <row r="49" spans="1:58" x14ac:dyDescent="0.25">
      <c r="A49">
        <f t="shared" si="1"/>
        <v>48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-4.7999999999999996E-3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</row>
    <row r="50" spans="1:58" x14ac:dyDescent="0.25">
      <c r="A50">
        <f t="shared" si="1"/>
        <v>49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-3.0000000000000001E-3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-4.7999999999999996E-3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</row>
    <row r="51" spans="1:58" x14ac:dyDescent="0.25">
      <c r="A51">
        <f t="shared" si="1"/>
        <v>50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</row>
    <row r="52" spans="1:58" x14ac:dyDescent="0.25">
      <c r="A52">
        <f t="shared" si="1"/>
        <v>51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</row>
    <row r="53" spans="1:58" x14ac:dyDescent="0.25">
      <c r="A53">
        <f t="shared" si="1"/>
        <v>52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</row>
    <row r="54" spans="1:58" x14ac:dyDescent="0.25">
      <c r="A54">
        <f t="shared" si="1"/>
        <v>53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</row>
    <row r="55" spans="1:58" x14ac:dyDescent="0.25">
      <c r="A55">
        <f t="shared" si="1"/>
        <v>54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</row>
    <row r="56" spans="1:58" x14ac:dyDescent="0.25">
      <c r="A56">
        <f t="shared" si="1"/>
        <v>55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</row>
    <row r="57" spans="1:58" x14ac:dyDescent="0.25">
      <c r="A57">
        <f t="shared" si="1"/>
        <v>56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</row>
    <row r="58" spans="1:58" x14ac:dyDescent="0.25">
      <c r="A58">
        <f t="shared" si="1"/>
        <v>57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F58"/>
  <sheetViews>
    <sheetView workbookViewId="0">
      <selection activeCell="B2" sqref="B2:BF58"/>
    </sheetView>
  </sheetViews>
  <sheetFormatPr defaultRowHeight="15" x14ac:dyDescent="0.25"/>
  <sheetData>
    <row r="1" spans="1:58" x14ac:dyDescent="0.25">
      <c r="B1">
        <v>1</v>
      </c>
      <c r="C1">
        <f>B1+1</f>
        <v>2</v>
      </c>
      <c r="D1">
        <f t="shared" ref="D1:BF1" si="0">C1+1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 t="shared" si="0"/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 t="shared" si="0"/>
        <v>24</v>
      </c>
      <c r="Z1">
        <f t="shared" si="0"/>
        <v>25</v>
      </c>
      <c r="AA1">
        <f t="shared" si="0"/>
        <v>26</v>
      </c>
      <c r="AB1">
        <f t="shared" si="0"/>
        <v>27</v>
      </c>
      <c r="AC1">
        <f t="shared" si="0"/>
        <v>28</v>
      </c>
      <c r="AD1">
        <f t="shared" si="0"/>
        <v>29</v>
      </c>
      <c r="AE1">
        <f t="shared" si="0"/>
        <v>30</v>
      </c>
      <c r="AF1">
        <f t="shared" si="0"/>
        <v>31</v>
      </c>
      <c r="AG1">
        <f t="shared" si="0"/>
        <v>32</v>
      </c>
      <c r="AH1">
        <f t="shared" si="0"/>
        <v>33</v>
      </c>
      <c r="AI1">
        <f t="shared" si="0"/>
        <v>34</v>
      </c>
      <c r="AJ1">
        <f t="shared" si="0"/>
        <v>35</v>
      </c>
      <c r="AK1">
        <f t="shared" si="0"/>
        <v>36</v>
      </c>
      <c r="AL1">
        <f t="shared" si="0"/>
        <v>37</v>
      </c>
      <c r="AM1">
        <f t="shared" si="0"/>
        <v>38</v>
      </c>
      <c r="AN1">
        <f t="shared" si="0"/>
        <v>39</v>
      </c>
      <c r="AO1">
        <f t="shared" si="0"/>
        <v>40</v>
      </c>
      <c r="AP1">
        <f t="shared" si="0"/>
        <v>41</v>
      </c>
      <c r="AQ1">
        <f t="shared" si="0"/>
        <v>42</v>
      </c>
      <c r="AR1">
        <f t="shared" si="0"/>
        <v>43</v>
      </c>
      <c r="AS1">
        <f t="shared" si="0"/>
        <v>44</v>
      </c>
      <c r="AT1">
        <f t="shared" si="0"/>
        <v>45</v>
      </c>
      <c r="AU1">
        <f t="shared" si="0"/>
        <v>46</v>
      </c>
      <c r="AV1">
        <f t="shared" si="0"/>
        <v>47</v>
      </c>
      <c r="AW1">
        <f t="shared" si="0"/>
        <v>48</v>
      </c>
      <c r="AX1">
        <f t="shared" si="0"/>
        <v>49</v>
      </c>
      <c r="AY1">
        <f t="shared" si="0"/>
        <v>50</v>
      </c>
      <c r="AZ1">
        <f t="shared" si="0"/>
        <v>51</v>
      </c>
      <c r="BA1">
        <f t="shared" si="0"/>
        <v>52</v>
      </c>
      <c r="BB1">
        <f t="shared" si="0"/>
        <v>53</v>
      </c>
      <c r="BC1">
        <f t="shared" si="0"/>
        <v>54</v>
      </c>
      <c r="BD1">
        <f t="shared" si="0"/>
        <v>55</v>
      </c>
      <c r="BE1">
        <f t="shared" si="0"/>
        <v>56</v>
      </c>
      <c r="BF1">
        <f t="shared" si="0"/>
        <v>57</v>
      </c>
    </row>
    <row r="2" spans="1:58" x14ac:dyDescent="0.25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1</v>
      </c>
      <c r="Q2">
        <v>1</v>
      </c>
      <c r="R2">
        <v>1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</row>
    <row r="3" spans="1:58" x14ac:dyDescent="0.25">
      <c r="A3">
        <f>A2+1</f>
        <v>2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</row>
    <row r="4" spans="1:58" x14ac:dyDescent="0.25">
      <c r="A4">
        <f t="shared" ref="A4:A58" si="1">A3+1</f>
        <v>3</v>
      </c>
      <c r="B4">
        <v>0</v>
      </c>
      <c r="C4">
        <v>1</v>
      </c>
      <c r="D4">
        <v>0</v>
      </c>
      <c r="E4">
        <v>1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1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</row>
    <row r="5" spans="1:58" x14ac:dyDescent="0.25">
      <c r="A5">
        <f t="shared" si="1"/>
        <v>4</v>
      </c>
      <c r="B5">
        <v>0</v>
      </c>
      <c r="C5">
        <v>0</v>
      </c>
      <c r="D5">
        <v>1</v>
      </c>
      <c r="E5">
        <v>0</v>
      </c>
      <c r="F5">
        <v>1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</row>
    <row r="6" spans="1:58" x14ac:dyDescent="0.25">
      <c r="A6">
        <f t="shared" si="1"/>
        <v>5</v>
      </c>
      <c r="B6">
        <v>0</v>
      </c>
      <c r="C6">
        <v>0</v>
      </c>
      <c r="D6">
        <v>0</v>
      </c>
      <c r="E6">
        <v>1</v>
      </c>
      <c r="F6">
        <v>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</row>
    <row r="7" spans="1:58" x14ac:dyDescent="0.25">
      <c r="A7">
        <f t="shared" si="1"/>
        <v>6</v>
      </c>
      <c r="B7">
        <v>0</v>
      </c>
      <c r="C7">
        <v>0</v>
      </c>
      <c r="D7">
        <v>0</v>
      </c>
      <c r="E7">
        <v>1</v>
      </c>
      <c r="F7">
        <v>1</v>
      </c>
      <c r="G7">
        <v>0</v>
      </c>
      <c r="H7">
        <v>1</v>
      </c>
      <c r="I7">
        <v>1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</row>
    <row r="8" spans="1:58" x14ac:dyDescent="0.25">
      <c r="A8">
        <f t="shared" si="1"/>
        <v>7</v>
      </c>
      <c r="B8">
        <v>0</v>
      </c>
      <c r="C8">
        <v>0</v>
      </c>
      <c r="D8">
        <v>0</v>
      </c>
      <c r="E8">
        <v>0</v>
      </c>
      <c r="F8">
        <v>0</v>
      </c>
      <c r="G8">
        <v>1</v>
      </c>
      <c r="H8">
        <v>0</v>
      </c>
      <c r="I8">
        <v>1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</row>
    <row r="9" spans="1:58" x14ac:dyDescent="0.25">
      <c r="A9">
        <f t="shared" si="1"/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1</v>
      </c>
      <c r="H9">
        <v>1</v>
      </c>
      <c r="I9">
        <v>0</v>
      </c>
      <c r="J9">
        <v>1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</row>
    <row r="10" spans="1:58" x14ac:dyDescent="0.25">
      <c r="A10">
        <f t="shared" si="1"/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>
        <v>1</v>
      </c>
      <c r="L10">
        <v>1</v>
      </c>
      <c r="M10">
        <v>1</v>
      </c>
      <c r="N10">
        <v>1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0</v>
      </c>
      <c r="BF10">
        <v>0</v>
      </c>
    </row>
    <row r="11" spans="1:58" x14ac:dyDescent="0.25">
      <c r="A11">
        <f t="shared" si="1"/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0</v>
      </c>
      <c r="L11">
        <v>0</v>
      </c>
      <c r="M11">
        <v>1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1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</row>
    <row r="12" spans="1:58" x14ac:dyDescent="0.25">
      <c r="A12">
        <f t="shared" si="1"/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1</v>
      </c>
      <c r="K12">
        <v>0</v>
      </c>
      <c r="L12">
        <v>0</v>
      </c>
      <c r="M12">
        <v>0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1</v>
      </c>
      <c r="AQ12">
        <v>0</v>
      </c>
      <c r="AR12">
        <v>1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</row>
    <row r="13" spans="1:58" x14ac:dyDescent="0.25">
      <c r="A13">
        <f t="shared" si="1"/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1</v>
      </c>
      <c r="O13">
        <v>0</v>
      </c>
      <c r="P13">
        <v>0</v>
      </c>
      <c r="Q13">
        <v>1</v>
      </c>
      <c r="R13">
        <v>1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</row>
    <row r="14" spans="1:58" x14ac:dyDescent="0.25">
      <c r="A14">
        <f t="shared" si="1"/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1</v>
      </c>
      <c r="K14">
        <v>0</v>
      </c>
      <c r="L14">
        <v>1</v>
      </c>
      <c r="M14">
        <v>1</v>
      </c>
      <c r="N14">
        <v>0</v>
      </c>
      <c r="O14">
        <v>1</v>
      </c>
      <c r="P14">
        <v>1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1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</row>
    <row r="15" spans="1:58" x14ac:dyDescent="0.25">
      <c r="A15">
        <f t="shared" si="1"/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1</v>
      </c>
      <c r="O15">
        <v>0</v>
      </c>
      <c r="P15">
        <v>1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</row>
    <row r="16" spans="1:58" x14ac:dyDescent="0.25">
      <c r="A16">
        <f t="shared" si="1"/>
        <v>15</v>
      </c>
      <c r="B16">
        <v>1</v>
      </c>
      <c r="C16">
        <v>0</v>
      </c>
      <c r="D16">
        <v>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</v>
      </c>
      <c r="O16">
        <v>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1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</row>
    <row r="17" spans="1:58" x14ac:dyDescent="0.25">
      <c r="A17">
        <f t="shared" si="1"/>
        <v>16</v>
      </c>
      <c r="B17">
        <v>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</row>
    <row r="18" spans="1:58" x14ac:dyDescent="0.25">
      <c r="A18">
        <f t="shared" si="1"/>
        <v>17</v>
      </c>
      <c r="B18">
        <v>1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</row>
    <row r="19" spans="1:58" x14ac:dyDescent="0.25">
      <c r="A19">
        <f t="shared" si="1"/>
        <v>18</v>
      </c>
      <c r="B19">
        <v>0</v>
      </c>
      <c r="C19">
        <v>0</v>
      </c>
      <c r="D19">
        <v>0</v>
      </c>
      <c r="E19">
        <v>1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1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</row>
    <row r="20" spans="1:58" x14ac:dyDescent="0.25">
      <c r="A20">
        <f t="shared" si="1"/>
        <v>19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</row>
    <row r="21" spans="1:58" x14ac:dyDescent="0.25">
      <c r="A21">
        <f t="shared" si="1"/>
        <v>20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1</v>
      </c>
      <c r="U21">
        <v>0</v>
      </c>
      <c r="V21">
        <v>1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</row>
    <row r="22" spans="1:58" x14ac:dyDescent="0.25">
      <c r="A22">
        <f t="shared" si="1"/>
        <v>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V22">
        <v>0</v>
      </c>
      <c r="W22">
        <v>1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</row>
    <row r="23" spans="1:58" x14ac:dyDescent="0.25">
      <c r="A23">
        <f t="shared" si="1"/>
        <v>22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0</v>
      </c>
      <c r="X23">
        <v>1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1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</row>
    <row r="24" spans="1:58" x14ac:dyDescent="0.25">
      <c r="A24">
        <f t="shared" si="1"/>
        <v>23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</v>
      </c>
      <c r="X24">
        <v>0</v>
      </c>
      <c r="Y24">
        <v>1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</row>
    <row r="25" spans="1:58" x14ac:dyDescent="0.25">
      <c r="A25">
        <f t="shared" si="1"/>
        <v>24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1</v>
      </c>
      <c r="Y25">
        <v>0</v>
      </c>
      <c r="Z25">
        <v>1</v>
      </c>
      <c r="AA25">
        <v>1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</row>
    <row r="26" spans="1:58" x14ac:dyDescent="0.25">
      <c r="A26">
        <f t="shared" si="1"/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1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1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</row>
    <row r="27" spans="1:58" x14ac:dyDescent="0.25">
      <c r="A27">
        <f t="shared" si="1"/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1</v>
      </c>
      <c r="Z27">
        <v>0</v>
      </c>
      <c r="AA27">
        <v>0</v>
      </c>
      <c r="AB27">
        <v>1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</row>
    <row r="28" spans="1:58" x14ac:dyDescent="0.25">
      <c r="A28">
        <f t="shared" si="1"/>
        <v>27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1</v>
      </c>
      <c r="AB28">
        <v>0</v>
      </c>
      <c r="AC28">
        <v>1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</row>
    <row r="29" spans="1:58" x14ac:dyDescent="0.25">
      <c r="A29">
        <f t="shared" si="1"/>
        <v>28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1</v>
      </c>
      <c r="AC29">
        <v>0</v>
      </c>
      <c r="AD29">
        <v>1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</row>
    <row r="30" spans="1:58" x14ac:dyDescent="0.25">
      <c r="A30">
        <f t="shared" si="1"/>
        <v>29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1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1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1</v>
      </c>
      <c r="BB30">
        <v>0</v>
      </c>
      <c r="BC30">
        <v>0</v>
      </c>
      <c r="BD30">
        <v>0</v>
      </c>
      <c r="BE30">
        <v>0</v>
      </c>
      <c r="BF30">
        <v>0</v>
      </c>
    </row>
    <row r="31" spans="1:58" x14ac:dyDescent="0.25">
      <c r="A31">
        <f t="shared" si="1"/>
        <v>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1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1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</row>
    <row r="32" spans="1:58" x14ac:dyDescent="0.25">
      <c r="A32">
        <f t="shared" si="1"/>
        <v>31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1</v>
      </c>
      <c r="AF32">
        <v>0</v>
      </c>
      <c r="AG32">
        <v>1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</row>
    <row r="33" spans="1:58" x14ac:dyDescent="0.25">
      <c r="A33">
        <f t="shared" si="1"/>
        <v>32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1</v>
      </c>
      <c r="AG33">
        <v>0</v>
      </c>
      <c r="AH33">
        <v>1</v>
      </c>
      <c r="AI33">
        <v>1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</row>
    <row r="34" spans="1:58" x14ac:dyDescent="0.25">
      <c r="A34">
        <f t="shared" si="1"/>
        <v>33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1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</row>
    <row r="35" spans="1:58" x14ac:dyDescent="0.25">
      <c r="A35">
        <f t="shared" si="1"/>
        <v>34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1</v>
      </c>
      <c r="AH35">
        <v>0</v>
      </c>
      <c r="AI35">
        <v>0</v>
      </c>
      <c r="AJ35">
        <v>1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</row>
    <row r="36" spans="1:58" x14ac:dyDescent="0.25">
      <c r="A36">
        <f t="shared" si="1"/>
        <v>35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1</v>
      </c>
      <c r="AJ36">
        <v>0</v>
      </c>
      <c r="AK36">
        <v>1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</row>
    <row r="37" spans="1:58" x14ac:dyDescent="0.25">
      <c r="A37">
        <f t="shared" si="1"/>
        <v>36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1</v>
      </c>
      <c r="AK37">
        <v>0</v>
      </c>
      <c r="AL37">
        <v>1</v>
      </c>
      <c r="AM37">
        <v>0</v>
      </c>
      <c r="AN37">
        <v>0</v>
      </c>
      <c r="AO37">
        <v>1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</row>
    <row r="38" spans="1:58" x14ac:dyDescent="0.25">
      <c r="A38">
        <f t="shared" si="1"/>
        <v>37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1</v>
      </c>
      <c r="AL38">
        <v>0</v>
      </c>
      <c r="AM38">
        <v>1</v>
      </c>
      <c r="AN38">
        <v>1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</row>
    <row r="39" spans="1:58" x14ac:dyDescent="0.25">
      <c r="A39">
        <f t="shared" si="1"/>
        <v>38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1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1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1</v>
      </c>
      <c r="AT39">
        <v>0</v>
      </c>
      <c r="AU39">
        <v>0</v>
      </c>
      <c r="AV39">
        <v>0</v>
      </c>
      <c r="AW39">
        <v>1</v>
      </c>
      <c r="AX39">
        <v>1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</row>
    <row r="40" spans="1:58" x14ac:dyDescent="0.25">
      <c r="A40">
        <f t="shared" si="1"/>
        <v>39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1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</row>
    <row r="41" spans="1:58" x14ac:dyDescent="0.25">
      <c r="A41">
        <f t="shared" si="1"/>
        <v>40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1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1</v>
      </c>
      <c r="BF41">
        <v>0</v>
      </c>
    </row>
    <row r="42" spans="1:58" x14ac:dyDescent="0.25">
      <c r="A42">
        <f t="shared" si="1"/>
        <v>41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1</v>
      </c>
      <c r="AR42">
        <v>1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1</v>
      </c>
      <c r="BF42">
        <v>0</v>
      </c>
    </row>
    <row r="43" spans="1:58" x14ac:dyDescent="0.25">
      <c r="A43">
        <f t="shared" si="1"/>
        <v>42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1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1</v>
      </c>
      <c r="BF43">
        <v>0</v>
      </c>
    </row>
    <row r="44" spans="1:58" x14ac:dyDescent="0.25">
      <c r="A44">
        <f t="shared" si="1"/>
        <v>43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1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</row>
    <row r="45" spans="1:58" x14ac:dyDescent="0.25">
      <c r="A45">
        <f t="shared" si="1"/>
        <v>44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1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1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</row>
    <row r="46" spans="1:58" x14ac:dyDescent="0.25">
      <c r="A46">
        <f t="shared" si="1"/>
        <v>45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1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1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</row>
    <row r="47" spans="1:58" x14ac:dyDescent="0.25">
      <c r="A47">
        <f t="shared" si="1"/>
        <v>46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1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1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</row>
    <row r="48" spans="1:58" x14ac:dyDescent="0.25">
      <c r="A48">
        <f t="shared" si="1"/>
        <v>47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1</v>
      </c>
      <c r="AV48">
        <v>0</v>
      </c>
      <c r="AW48">
        <v>1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</row>
    <row r="49" spans="1:58" x14ac:dyDescent="0.25">
      <c r="A49">
        <f t="shared" si="1"/>
        <v>48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1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1</v>
      </c>
      <c r="AW49">
        <v>0</v>
      </c>
      <c r="AX49">
        <v>1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</row>
    <row r="50" spans="1:58" x14ac:dyDescent="0.25">
      <c r="A50">
        <f t="shared" si="1"/>
        <v>49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1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1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1</v>
      </c>
      <c r="AX50">
        <v>0</v>
      </c>
      <c r="AY50">
        <v>1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</row>
    <row r="51" spans="1:58" x14ac:dyDescent="0.25">
      <c r="A51">
        <f t="shared" si="1"/>
        <v>50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1</v>
      </c>
      <c r="AY51">
        <v>0</v>
      </c>
      <c r="AZ51">
        <v>1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</row>
    <row r="52" spans="1:58" x14ac:dyDescent="0.25">
      <c r="A52">
        <f t="shared" si="1"/>
        <v>51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1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1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</row>
    <row r="53" spans="1:58" x14ac:dyDescent="0.25">
      <c r="A53">
        <f t="shared" si="1"/>
        <v>52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1</v>
      </c>
      <c r="BC53">
        <v>0</v>
      </c>
      <c r="BD53">
        <v>0</v>
      </c>
      <c r="BE53">
        <v>0</v>
      </c>
      <c r="BF53">
        <v>0</v>
      </c>
    </row>
    <row r="54" spans="1:58" x14ac:dyDescent="0.25">
      <c r="A54">
        <f t="shared" si="1"/>
        <v>53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1</v>
      </c>
      <c r="BB54">
        <v>0</v>
      </c>
      <c r="BC54">
        <v>1</v>
      </c>
      <c r="BD54">
        <v>0</v>
      </c>
      <c r="BE54">
        <v>0</v>
      </c>
      <c r="BF54">
        <v>0</v>
      </c>
    </row>
    <row r="55" spans="1:58" x14ac:dyDescent="0.25">
      <c r="A55">
        <f t="shared" si="1"/>
        <v>54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1</v>
      </c>
      <c r="BC55">
        <v>0</v>
      </c>
      <c r="BD55">
        <v>1</v>
      </c>
      <c r="BE55">
        <v>0</v>
      </c>
      <c r="BF55">
        <v>0</v>
      </c>
    </row>
    <row r="56" spans="1:58" x14ac:dyDescent="0.25">
      <c r="A56">
        <f t="shared" si="1"/>
        <v>55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1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1</v>
      </c>
      <c r="BD56">
        <v>0</v>
      </c>
      <c r="BE56">
        <v>0</v>
      </c>
      <c r="BF56">
        <v>0</v>
      </c>
    </row>
    <row r="57" spans="1:58" x14ac:dyDescent="0.25">
      <c r="A57">
        <f t="shared" si="1"/>
        <v>56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1</v>
      </c>
      <c r="AP57">
        <v>1</v>
      </c>
      <c r="AQ57">
        <v>1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1</v>
      </c>
    </row>
    <row r="58" spans="1:58" x14ac:dyDescent="0.25">
      <c r="A58">
        <f t="shared" si="1"/>
        <v>57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1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1</v>
      </c>
      <c r="BF5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Y</vt:lpstr>
      <vt:lpstr>line</vt:lpstr>
      <vt:lpstr>Sheet3</vt:lpstr>
      <vt:lpstr>Sheet1</vt:lpstr>
      <vt:lpstr>Sheet2</vt:lpstr>
      <vt:lpstr>Sheet4</vt:lpstr>
    </vt:vector>
  </TitlesOfParts>
  <Company>Windows User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Chavez</dc:creator>
  <cp:lastModifiedBy>sc32589</cp:lastModifiedBy>
  <dcterms:created xsi:type="dcterms:W3CDTF">2012-02-25T01:58:51Z</dcterms:created>
  <dcterms:modified xsi:type="dcterms:W3CDTF">2012-06-04T05:44:53Z</dcterms:modified>
</cp:coreProperties>
</file>